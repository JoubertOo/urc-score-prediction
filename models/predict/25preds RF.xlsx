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tting\URC\models\predict\"/>
    </mc:Choice>
  </mc:AlternateContent>
  <xr:revisionPtr revIDLastSave="0" documentId="13_ncr:1_{AD7BE264-3613-4A30-B690-307CD03C115F}" xr6:coauthVersionLast="47" xr6:coauthVersionMax="47" xr10:uidLastSave="{00000000-0000-0000-0000-000000000000}"/>
  <bookViews>
    <workbookView xWindow="-110" yWindow="-110" windowWidth="25820" windowHeight="13900" xr2:uid="{7B1DE9B9-1591-4B08-BE07-1F6274FEC1ED}"/>
  </bookViews>
  <sheets>
    <sheet name="25preds -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2" i="1" l="1"/>
  <c r="W3" i="1" a="1"/>
  <c r="W3" i="1" s="1"/>
  <c r="Y3" i="1" s="1"/>
  <c r="X3" i="1" a="1"/>
  <c r="X3" i="1"/>
  <c r="W4" i="1" a="1"/>
  <c r="W4" i="1" s="1"/>
  <c r="X4" i="1" a="1"/>
  <c r="X4" i="1" s="1"/>
  <c r="W5" i="1" a="1"/>
  <c r="W5" i="1" s="1"/>
  <c r="Y5" i="1" s="1"/>
  <c r="X5" i="1" a="1"/>
  <c r="X5" i="1"/>
  <c r="W6" i="1" a="1"/>
  <c r="W6" i="1" s="1"/>
  <c r="Y6" i="1" s="1"/>
  <c r="X6" i="1" a="1"/>
  <c r="X6" i="1"/>
  <c r="W7" i="1" a="1"/>
  <c r="W7" i="1"/>
  <c r="X7" i="1" a="1"/>
  <c r="X7" i="1"/>
  <c r="Y7" i="1" s="1"/>
  <c r="W8" i="1" a="1"/>
  <c r="W8" i="1"/>
  <c r="X8" i="1" a="1"/>
  <c r="X8" i="1"/>
  <c r="Y8" i="1"/>
  <c r="W9" i="1" a="1"/>
  <c r="W9" i="1"/>
  <c r="X9" i="1" a="1"/>
  <c r="X9" i="1" s="1"/>
  <c r="W11" i="1" a="1"/>
  <c r="W11" i="1" s="1"/>
  <c r="Y11" i="1" s="1"/>
  <c r="X11" i="1" a="1"/>
  <c r="X11" i="1"/>
  <c r="W12" i="1" a="1"/>
  <c r="W12" i="1" s="1"/>
  <c r="X12" i="1" a="1"/>
  <c r="X12" i="1" s="1"/>
  <c r="W14" i="1" a="1"/>
  <c r="W14" i="1"/>
  <c r="X14" i="1" a="1"/>
  <c r="X14" i="1"/>
  <c r="Y14" i="1"/>
  <c r="W15" i="1" a="1"/>
  <c r="W15" i="1"/>
  <c r="Y15" i="1" s="1"/>
  <c r="X15" i="1" a="1"/>
  <c r="X15" i="1"/>
  <c r="W16" i="1" a="1"/>
  <c r="W16" i="1"/>
  <c r="X16" i="1" a="1"/>
  <c r="X16" i="1" s="1"/>
  <c r="Y16" i="1" s="1"/>
  <c r="W17" i="1" a="1"/>
  <c r="W17" i="1"/>
  <c r="X17" i="1" a="1"/>
  <c r="X17" i="1" s="1"/>
  <c r="Y17" i="1" s="1"/>
  <c r="W18" i="1" a="1"/>
  <c r="W18" i="1"/>
  <c r="X18" i="1" a="1"/>
  <c r="X18" i="1" s="1"/>
  <c r="Y18" i="1" s="1"/>
  <c r="W19" i="1" a="1"/>
  <c r="W19" i="1" s="1"/>
  <c r="Y19" i="1" s="1"/>
  <c r="X19" i="1" a="1"/>
  <c r="X19" i="1"/>
  <c r="W20" i="1" a="1"/>
  <c r="W20" i="1" s="1"/>
  <c r="Y20" i="1" s="1"/>
  <c r="X20" i="1" a="1"/>
  <c r="X20" i="1"/>
  <c r="W21" i="1" a="1"/>
  <c r="W21" i="1"/>
  <c r="Y21" i="1" s="1"/>
  <c r="X21" i="1" a="1"/>
  <c r="X21" i="1"/>
  <c r="W22" i="1" a="1"/>
  <c r="W22" i="1" s="1"/>
  <c r="Y22" i="1" s="1"/>
  <c r="X22" i="1" a="1"/>
  <c r="X22" i="1"/>
  <c r="W23" i="1" a="1"/>
  <c r="W23" i="1"/>
  <c r="X23" i="1" a="1"/>
  <c r="X23" i="1"/>
  <c r="Y23" i="1"/>
  <c r="W24" i="1" a="1"/>
  <c r="W24" i="1"/>
  <c r="X24" i="1" a="1"/>
  <c r="X24" i="1"/>
  <c r="Y24" i="1"/>
  <c r="W25" i="1" a="1"/>
  <c r="W25" i="1"/>
  <c r="X25" i="1" a="1"/>
  <c r="X25" i="1" s="1"/>
  <c r="W26" i="1" a="1"/>
  <c r="W26" i="1" s="1"/>
  <c r="X26" i="1" a="1"/>
  <c r="X26" i="1" s="1"/>
  <c r="W27" i="1" a="1"/>
  <c r="W27" i="1" s="1"/>
  <c r="Y27" i="1" s="1"/>
  <c r="X27" i="1" a="1"/>
  <c r="X27" i="1"/>
  <c r="W28" i="1" a="1"/>
  <c r="W28" i="1" s="1"/>
  <c r="X28" i="1" a="1"/>
  <c r="X28" i="1" s="1"/>
  <c r="W29" i="1" a="1"/>
  <c r="W29" i="1"/>
  <c r="Y29" i="1" s="1"/>
  <c r="X29" i="1" a="1"/>
  <c r="X29" i="1"/>
  <c r="W30" i="1" a="1"/>
  <c r="W30" i="1"/>
  <c r="X30" i="1" a="1"/>
  <c r="X30" i="1"/>
  <c r="Y30" i="1"/>
  <c r="W31" i="1" a="1"/>
  <c r="W31" i="1"/>
  <c r="Y31" i="1" s="1"/>
  <c r="X31" i="1" a="1"/>
  <c r="X31" i="1"/>
  <c r="W32" i="1" a="1"/>
  <c r="W32" i="1"/>
  <c r="X32" i="1" a="1"/>
  <c r="X32" i="1" s="1"/>
  <c r="Y32" i="1" s="1"/>
  <c r="W33" i="1" a="1"/>
  <c r="W33" i="1"/>
  <c r="X33" i="1" a="1"/>
  <c r="X33" i="1" s="1"/>
  <c r="Y33" i="1" s="1"/>
  <c r="W34" i="1" a="1"/>
  <c r="W34" i="1" s="1"/>
  <c r="X34" i="1" a="1"/>
  <c r="X34" i="1" s="1"/>
  <c r="W35" i="1" a="1"/>
  <c r="W35" i="1" s="1"/>
  <c r="Y35" i="1" s="1"/>
  <c r="X35" i="1" a="1"/>
  <c r="X35" i="1"/>
  <c r="W36" i="1" a="1"/>
  <c r="W36" i="1" s="1"/>
  <c r="Y36" i="1" s="1"/>
  <c r="X36" i="1" a="1"/>
  <c r="X36" i="1"/>
  <c r="W37" i="1" a="1"/>
  <c r="W37" i="1"/>
  <c r="Y37" i="1" s="1"/>
  <c r="X37" i="1" a="1"/>
  <c r="X37" i="1"/>
  <c r="W38" i="1" a="1"/>
  <c r="W38" i="1" s="1"/>
  <c r="Y38" i="1" s="1"/>
  <c r="X38" i="1" a="1"/>
  <c r="X38" i="1"/>
  <c r="W39" i="1" a="1"/>
  <c r="W39" i="1"/>
  <c r="X39" i="1" a="1"/>
  <c r="X39" i="1"/>
  <c r="Y39" i="1"/>
  <c r="W40" i="1" a="1"/>
  <c r="W40" i="1"/>
  <c r="X40" i="1" a="1"/>
  <c r="X40" i="1"/>
  <c r="Y40" i="1"/>
  <c r="W41" i="1" a="1"/>
  <c r="W41" i="1"/>
  <c r="X41" i="1" a="1"/>
  <c r="X41" i="1" s="1"/>
  <c r="X2" i="1" a="1"/>
  <c r="X2" i="1" s="1"/>
  <c r="W2" i="1" a="1"/>
  <c r="W2" i="1" s="1"/>
  <c r="Y2" i="1" s="1"/>
  <c r="Y26" i="1" l="1"/>
  <c r="Y12" i="1"/>
  <c r="Y25" i="1"/>
  <c r="Y34" i="1"/>
  <c r="Y9" i="1"/>
  <c r="Y4" i="1"/>
  <c r="Y28" i="1"/>
  <c r="Y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<sst xmlns="http://schemas.openxmlformats.org/spreadsheetml/2006/main" count="639" uniqueCount="71">
  <si>
    <t>Fulltime_score_home_predicted</t>
  </si>
  <si>
    <t>Fulltime_score_away_predicted</t>
  </si>
  <si>
    <t>Halftime_score_home_predicted</t>
  </si>
  <si>
    <t>Halftime_score_away_predicted</t>
  </si>
  <si>
    <t>Home_team</t>
  </si>
  <si>
    <t>Away_team</t>
  </si>
  <si>
    <t>Date_time</t>
  </si>
  <si>
    <t>Venue</t>
  </si>
  <si>
    <t>Fulltime_score_home</t>
  </si>
  <si>
    <t>Fulltime_score_away</t>
  </si>
  <si>
    <t>Halftime_score_home</t>
  </si>
  <si>
    <t>Halftime_score_away</t>
  </si>
  <si>
    <t>wx_temp_c</t>
  </si>
  <si>
    <t>wx_precip_mm</t>
  </si>
  <si>
    <t>wx_wind_kph</t>
  </si>
  <si>
    <t>wx_weathercode</t>
  </si>
  <si>
    <t>wx_summary</t>
  </si>
  <si>
    <t>time_bucket</t>
  </si>
  <si>
    <t>is_in_south_africa</t>
  </si>
  <si>
    <t>is_main_home_stadium</t>
  </si>
  <si>
    <t>Stormers</t>
  </si>
  <si>
    <t>Leinster</t>
  </si>
  <si>
    <t>DHL Stadium</t>
  </si>
  <si>
    <t>Clear</t>
  </si>
  <si>
    <t>evening</t>
  </si>
  <si>
    <t>Ulster</t>
  </si>
  <si>
    <t>Dragons RFC</t>
  </si>
  <si>
    <t>Affidea Stadium</t>
  </si>
  <si>
    <t>Overcast</t>
  </si>
  <si>
    <t>Glasgow Warriors</t>
  </si>
  <si>
    <t>Sharks</t>
  </si>
  <si>
    <t>Scotstoun Stadium</t>
  </si>
  <si>
    <t>Bulls</t>
  </si>
  <si>
    <t>Ospreys</t>
  </si>
  <si>
    <t>Loftus Versfeld</t>
  </si>
  <si>
    <t>Drizzle: dense</t>
  </si>
  <si>
    <t>early_afternoon</t>
  </si>
  <si>
    <t>Zebre</t>
  </si>
  <si>
    <t>Edinburgh</t>
  </si>
  <si>
    <t>Stadio Sergio Lanfranchi</t>
  </si>
  <si>
    <t>Rain: slight</t>
  </si>
  <si>
    <t>late_afternoon</t>
  </si>
  <si>
    <t>Scarlets</t>
  </si>
  <si>
    <t>Munster</t>
  </si>
  <si>
    <t>Parc y Scarlets</t>
  </si>
  <si>
    <t>Drizzle: moderate</t>
  </si>
  <si>
    <t>Cardiff</t>
  </si>
  <si>
    <t>Lions</t>
  </si>
  <si>
    <t>Cardiff Arms Park</t>
  </si>
  <si>
    <t>Connacht</t>
  </si>
  <si>
    <t>Benetton</t>
  </si>
  <si>
    <t>Dexcom Stadium</t>
  </si>
  <si>
    <t>Hive Stadium</t>
  </si>
  <si>
    <t>Drizzle: light</t>
  </si>
  <si>
    <t>Rodney Parade</t>
  </si>
  <si>
    <t>Stadio Comunale di Monigo</t>
  </si>
  <si>
    <t>Partly cloudy</t>
  </si>
  <si>
    <t>Thomond Park</t>
  </si>
  <si>
    <t>Mainly clear</t>
  </si>
  <si>
    <t>Virgin Media Park</t>
  </si>
  <si>
    <t>Brewery Field</t>
  </si>
  <si>
    <t>Aviva Stadium</t>
  </si>
  <si>
    <t>Ellis Park</t>
  </si>
  <si>
    <t>Hollywoodbets Kings Park</t>
  </si>
  <si>
    <t>Croke Park</t>
  </si>
  <si>
    <t>Hampden Park</t>
  </si>
  <si>
    <t>Scottish Gas Murrayfield</t>
  </si>
  <si>
    <t>TBC</t>
  </si>
  <si>
    <t>Actual_Result</t>
  </si>
  <si>
    <t>Predicted_result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</si>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</sst>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10" fontId="0" fillId="33" borderId="0" xfId="42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5A4D-6BFC-44B7-9EEF-D441A85925E2}">
  <dimension ref="A1:Y145"/>
  <sheetViews>
    <sheetView tabSelected="1" workbookViewId="0">
      <selection activeCell="T1" sqref="T1"/>
    </sheetView>
  </sheetViews>
  <sheetFormatPr defaultRowHeight="14.5" x14ac:dyDescent="0.35"/>
  <cols>
    <col min="7" max="7" width="15.089843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W1" t="s">
        <v>68</v>
      </c>
      <c r="X1" t="s">
        <v>69</v>
      </c>
      <c r="Y1" t="s">
        <v>70</v>
      </c>
    </row>
    <row r="2" spans="1:25" x14ac:dyDescent="0.35">
      <c r="A2">
        <v>31.090559281637098</v>
      </c>
      <c r="B2">
        <v>15.4944545745875</v>
      </c>
      <c r="C2">
        <v>10.5699845954185</v>
      </c>
      <c r="D2">
        <v>9.0799886096199192</v>
      </c>
      <c r="E2" t="s">
        <v>20</v>
      </c>
      <c r="F2" t="s">
        <v>21</v>
      </c>
      <c r="G2" s="1">
        <v>45926.791666666664</v>
      </c>
      <c r="H2" t="s">
        <v>22</v>
      </c>
      <c r="I2">
        <v>35</v>
      </c>
      <c r="J2">
        <v>0</v>
      </c>
      <c r="K2">
        <v>6</v>
      </c>
      <c r="L2">
        <v>0</v>
      </c>
      <c r="M2">
        <v>20.6</v>
      </c>
      <c r="N2">
        <v>0</v>
      </c>
      <c r="O2">
        <v>41.4</v>
      </c>
      <c r="P2">
        <v>0</v>
      </c>
      <c r="Q2" t="s">
        <v>23</v>
      </c>
      <c r="R2" t="s">
        <v>24</v>
      </c>
      <c r="S2" t="b">
        <v>1</v>
      </c>
      <c r="T2" t="b">
        <v>1</v>
      </c>
      <c r="W2" t="str" cm="1">
        <f t="array" ref="W2">_xlfn.IFS(I2&gt;J2, "Home", I2&lt;J2, "Away",I2=J2,"Draw")</f>
        <v>Home</v>
      </c>
      <c r="X2" t="str" cm="1">
        <f t="array" ref="X2">_xlfn.IFS(A2&gt;B2, "Home", A2&lt;B2, "Away",A2=B2,"Draw")</f>
        <v>Home</v>
      </c>
      <c r="Y2">
        <f>IF(W2=X2,1,0)</f>
        <v>1</v>
      </c>
    </row>
    <row r="3" spans="1:25" x14ac:dyDescent="0.35">
      <c r="A3">
        <v>29.493964822071302</v>
      </c>
      <c r="B3">
        <v>17.389156503086902</v>
      </c>
      <c r="C3">
        <v>13.7513268630422</v>
      </c>
      <c r="D3">
        <v>10.592397462527099</v>
      </c>
      <c r="E3" t="s">
        <v>25</v>
      </c>
      <c r="F3" t="s">
        <v>26</v>
      </c>
      <c r="G3" s="1">
        <v>45926.878472222219</v>
      </c>
      <c r="H3" t="s">
        <v>27</v>
      </c>
      <c r="I3">
        <v>42</v>
      </c>
      <c r="J3">
        <v>21</v>
      </c>
      <c r="K3">
        <v>28</v>
      </c>
      <c r="L3">
        <v>14</v>
      </c>
      <c r="M3">
        <v>12</v>
      </c>
      <c r="N3">
        <v>0</v>
      </c>
      <c r="O3">
        <v>63</v>
      </c>
      <c r="P3">
        <v>3</v>
      </c>
      <c r="Q3" t="s">
        <v>28</v>
      </c>
      <c r="R3" t="s">
        <v>24</v>
      </c>
      <c r="S3" t="b">
        <v>0</v>
      </c>
      <c r="T3" t="b">
        <v>1</v>
      </c>
      <c r="W3" t="str" cm="1">
        <f t="array" ref="W3">_xlfn.IFS(I3&gt;J3, "Home", I3&lt;J3, "Away",I3=J3,"Draw")</f>
        <v>Home</v>
      </c>
      <c r="X3" t="str" cm="1">
        <f t="array" ref="X3">_xlfn.IFS(A3&gt;B3, "Home", A3&lt;B3, "Away",A3=B3,"Draw")</f>
        <v>Home</v>
      </c>
      <c r="Y3">
        <f t="shared" ref="Y3:Y41" si="0">IF(W3=X3,1,0)</f>
        <v>1</v>
      </c>
    </row>
    <row r="4" spans="1:25" x14ac:dyDescent="0.35">
      <c r="A4">
        <v>27.878085678728699</v>
      </c>
      <c r="B4">
        <v>15.785390114643601</v>
      </c>
      <c r="C4">
        <v>11.6611050077915</v>
      </c>
      <c r="D4">
        <v>9.6354948551760504</v>
      </c>
      <c r="E4" t="s">
        <v>29</v>
      </c>
      <c r="F4" t="s">
        <v>30</v>
      </c>
      <c r="G4" s="1">
        <v>45926.878472222219</v>
      </c>
      <c r="H4" t="s">
        <v>31</v>
      </c>
      <c r="I4">
        <v>35</v>
      </c>
      <c r="J4">
        <v>19</v>
      </c>
      <c r="K4">
        <v>14</v>
      </c>
      <c r="L4">
        <v>12</v>
      </c>
      <c r="M4">
        <v>11.4</v>
      </c>
      <c r="N4">
        <v>0</v>
      </c>
      <c r="O4">
        <v>38.5</v>
      </c>
      <c r="P4">
        <v>3</v>
      </c>
      <c r="Q4" t="s">
        <v>28</v>
      </c>
      <c r="R4" t="s">
        <v>24</v>
      </c>
      <c r="S4" t="b">
        <v>0</v>
      </c>
      <c r="T4" t="b">
        <v>1</v>
      </c>
      <c r="W4" t="str" cm="1">
        <f t="array" ref="W4">_xlfn.IFS(I4&gt;J4, "Home", I4&lt;J4, "Away",I4=J4,"Draw")</f>
        <v>Home</v>
      </c>
      <c r="X4" t="str" cm="1">
        <f t="array" ref="X4">_xlfn.IFS(A4&gt;B4, "Home", A4&lt;B4, "Away",A4=B4,"Draw")</f>
        <v>Home</v>
      </c>
      <c r="Y4">
        <f t="shared" si="0"/>
        <v>1</v>
      </c>
    </row>
    <row r="5" spans="1:25" x14ac:dyDescent="0.35">
      <c r="A5">
        <v>37.925423331518701</v>
      </c>
      <c r="B5">
        <v>26.179119148039</v>
      </c>
      <c r="C5">
        <v>14.6063872454468</v>
      </c>
      <c r="D5">
        <v>14.676610434486999</v>
      </c>
      <c r="E5" t="s">
        <v>32</v>
      </c>
      <c r="F5" t="s">
        <v>33</v>
      </c>
      <c r="G5" s="1">
        <v>45927.583333333336</v>
      </c>
      <c r="H5" t="s">
        <v>34</v>
      </c>
      <c r="I5">
        <v>53</v>
      </c>
      <c r="J5">
        <v>40</v>
      </c>
      <c r="K5">
        <v>19</v>
      </c>
      <c r="L5">
        <v>26</v>
      </c>
      <c r="M5">
        <v>22.2</v>
      </c>
      <c r="N5">
        <v>1</v>
      </c>
      <c r="O5">
        <v>26.6</v>
      </c>
      <c r="P5">
        <v>55</v>
      </c>
      <c r="Q5" t="s">
        <v>35</v>
      </c>
      <c r="R5" t="s">
        <v>36</v>
      </c>
      <c r="S5" t="b">
        <v>1</v>
      </c>
      <c r="T5" t="b">
        <v>1</v>
      </c>
      <c r="W5" t="str" cm="1">
        <f t="array" ref="W5">_xlfn.IFS(I5&gt;J5, "Home", I5&lt;J5, "Away",I5=J5,"Draw")</f>
        <v>Home</v>
      </c>
      <c r="X5" t="str" cm="1">
        <f t="array" ref="X5">_xlfn.IFS(A5&gt;B5, "Home", A5&lt;B5, "Away",A5=B5,"Draw")</f>
        <v>Home</v>
      </c>
      <c r="Y5">
        <f t="shared" si="0"/>
        <v>1</v>
      </c>
    </row>
    <row r="6" spans="1:25" x14ac:dyDescent="0.35">
      <c r="A6">
        <v>26.983816781442599</v>
      </c>
      <c r="B6">
        <v>21.736873443506799</v>
      </c>
      <c r="C6">
        <v>14.4898017470965</v>
      </c>
      <c r="D6">
        <v>11.14055026338</v>
      </c>
      <c r="E6" t="s">
        <v>37</v>
      </c>
      <c r="F6" t="s">
        <v>38</v>
      </c>
      <c r="G6" s="1">
        <v>45927.670138888891</v>
      </c>
      <c r="H6" t="s">
        <v>39</v>
      </c>
      <c r="I6">
        <v>31</v>
      </c>
      <c r="J6">
        <v>28</v>
      </c>
      <c r="K6">
        <v>21</v>
      </c>
      <c r="L6">
        <v>14</v>
      </c>
      <c r="M6">
        <v>15.7</v>
      </c>
      <c r="N6">
        <v>1.9</v>
      </c>
      <c r="O6">
        <v>14</v>
      </c>
      <c r="P6">
        <v>61</v>
      </c>
      <c r="Q6" t="s">
        <v>40</v>
      </c>
      <c r="R6" t="s">
        <v>41</v>
      </c>
      <c r="S6" t="b">
        <v>0</v>
      </c>
      <c r="T6" t="b">
        <v>1</v>
      </c>
      <c r="W6" t="str" cm="1">
        <f t="array" ref="W6">_xlfn.IFS(I6&gt;J6, "Home", I6&lt;J6, "Away",I6=J6,"Draw")</f>
        <v>Home</v>
      </c>
      <c r="X6" t="str" cm="1">
        <f t="array" ref="X6">_xlfn.IFS(A6&gt;B6, "Home", A6&lt;B6, "Away",A6=B6,"Draw")</f>
        <v>Home</v>
      </c>
      <c r="Y6">
        <f t="shared" si="0"/>
        <v>1</v>
      </c>
    </row>
    <row r="7" spans="1:25" x14ac:dyDescent="0.35">
      <c r="A7">
        <v>24.4266885189964</v>
      </c>
      <c r="B7">
        <v>23.4865109077816</v>
      </c>
      <c r="C7">
        <v>9.3065354038068993</v>
      </c>
      <c r="D7">
        <v>12.060031860490399</v>
      </c>
      <c r="E7" t="s">
        <v>42</v>
      </c>
      <c r="F7" t="s">
        <v>43</v>
      </c>
      <c r="G7" s="1">
        <v>45927.770833333336</v>
      </c>
      <c r="H7" t="s">
        <v>44</v>
      </c>
      <c r="I7">
        <v>21</v>
      </c>
      <c r="J7">
        <v>34</v>
      </c>
      <c r="K7">
        <v>0</v>
      </c>
      <c r="L7">
        <v>13</v>
      </c>
      <c r="M7">
        <v>14.5</v>
      </c>
      <c r="N7">
        <v>0.6</v>
      </c>
      <c r="O7">
        <v>65.900000000000006</v>
      </c>
      <c r="P7">
        <v>53</v>
      </c>
      <c r="Q7" t="s">
        <v>45</v>
      </c>
      <c r="R7" t="s">
        <v>41</v>
      </c>
      <c r="S7" t="b">
        <v>0</v>
      </c>
      <c r="T7" t="b">
        <v>1</v>
      </c>
      <c r="W7" t="str" cm="1">
        <f t="array" ref="W7">_xlfn.IFS(I7&gt;J7, "Home", I7&lt;J7, "Away",I7=J7,"Draw")</f>
        <v>Away</v>
      </c>
      <c r="X7" t="str" cm="1">
        <f t="array" ref="X7">_xlfn.IFS(A7&gt;B7, "Home", A7&lt;B7, "Away",A7=B7,"Draw")</f>
        <v>Home</v>
      </c>
      <c r="Y7">
        <f t="shared" si="0"/>
        <v>0</v>
      </c>
    </row>
    <row r="8" spans="1:25" x14ac:dyDescent="0.35">
      <c r="A8">
        <v>25.473779255001102</v>
      </c>
      <c r="B8">
        <v>18.747037330349301</v>
      </c>
      <c r="C8">
        <v>11.4140717327279</v>
      </c>
      <c r="D8">
        <v>11.1770522484876</v>
      </c>
      <c r="E8" t="s">
        <v>46</v>
      </c>
      <c r="F8" t="s">
        <v>47</v>
      </c>
      <c r="G8" s="1">
        <v>45927.864583333336</v>
      </c>
      <c r="H8" t="s">
        <v>48</v>
      </c>
      <c r="I8">
        <v>33</v>
      </c>
      <c r="J8">
        <v>20</v>
      </c>
      <c r="K8">
        <v>14</v>
      </c>
      <c r="L8">
        <v>13</v>
      </c>
      <c r="M8">
        <v>14.4</v>
      </c>
      <c r="N8">
        <v>0</v>
      </c>
      <c r="O8">
        <v>51.5</v>
      </c>
      <c r="P8">
        <v>3</v>
      </c>
      <c r="Q8" t="s">
        <v>28</v>
      </c>
      <c r="R8" t="s">
        <v>24</v>
      </c>
      <c r="S8" t="b">
        <v>0</v>
      </c>
      <c r="T8" t="b">
        <v>1</v>
      </c>
      <c r="W8" t="str" cm="1">
        <f t="array" ref="W8">_xlfn.IFS(I8&gt;J8, "Home", I8&lt;J8, "Away",I8=J8,"Draw")</f>
        <v>Home</v>
      </c>
      <c r="X8" t="str" cm="1">
        <f t="array" ref="X8">_xlfn.IFS(A8&gt;B8, "Home", A8&lt;B8, "Away",A8=B8,"Draw")</f>
        <v>Home</v>
      </c>
      <c r="Y8">
        <f t="shared" si="0"/>
        <v>1</v>
      </c>
    </row>
    <row r="9" spans="1:25" x14ac:dyDescent="0.35">
      <c r="A9">
        <v>27.052401429517001</v>
      </c>
      <c r="B9">
        <v>15.933841240756299</v>
      </c>
      <c r="C9">
        <v>12.001717465953501</v>
      </c>
      <c r="D9">
        <v>8.4427706332540406</v>
      </c>
      <c r="E9" t="s">
        <v>49</v>
      </c>
      <c r="F9" t="s">
        <v>50</v>
      </c>
      <c r="G9" s="1">
        <v>45927.864583333336</v>
      </c>
      <c r="H9" t="s">
        <v>51</v>
      </c>
      <c r="I9">
        <v>26</v>
      </c>
      <c r="J9">
        <v>15</v>
      </c>
      <c r="K9">
        <v>12</v>
      </c>
      <c r="L9">
        <v>3</v>
      </c>
      <c r="M9">
        <v>10.8</v>
      </c>
      <c r="N9">
        <v>0</v>
      </c>
      <c r="O9">
        <v>37.1</v>
      </c>
      <c r="P9">
        <v>3</v>
      </c>
      <c r="Q9" t="s">
        <v>28</v>
      </c>
      <c r="R9" t="s">
        <v>24</v>
      </c>
      <c r="S9" t="b">
        <v>0</v>
      </c>
      <c r="T9" t="b">
        <v>1</v>
      </c>
      <c r="W9" t="str" cm="1">
        <f t="array" ref="W9">_xlfn.IFS(I9&gt;J9, "Home", I9&lt;J9, "Away",I9=J9,"Draw")</f>
        <v>Home</v>
      </c>
      <c r="X9" t="str" cm="1">
        <f t="array" ref="X9">_xlfn.IFS(A9&gt;B9, "Home", A9&lt;B9, "Away",A9=B9,"Draw")</f>
        <v>Home</v>
      </c>
      <c r="Y9">
        <f t="shared" si="0"/>
        <v>1</v>
      </c>
    </row>
    <row r="10" spans="1:25" x14ac:dyDescent="0.35">
      <c r="E10" t="s">
        <v>38</v>
      </c>
      <c r="F10" t="s">
        <v>25</v>
      </c>
      <c r="G10" s="1">
        <v>45933.083333333336</v>
      </c>
      <c r="H10" t="s">
        <v>52</v>
      </c>
      <c r="M10">
        <v>15.1</v>
      </c>
      <c r="N10">
        <v>0.2</v>
      </c>
      <c r="O10">
        <v>90.4</v>
      </c>
      <c r="P10">
        <v>51</v>
      </c>
      <c r="Q10" t="s">
        <v>53</v>
      </c>
      <c r="R10" t="s">
        <v>24</v>
      </c>
      <c r="S10" t="b">
        <v>0</v>
      </c>
      <c r="T10" t="b">
        <v>1</v>
      </c>
    </row>
    <row r="11" spans="1:25" x14ac:dyDescent="0.35">
      <c r="A11">
        <v>31.337457496482699</v>
      </c>
      <c r="B11">
        <v>16.088931971459601</v>
      </c>
      <c r="C11">
        <v>10.6129386601229</v>
      </c>
      <c r="D11">
        <v>10.481673226731299</v>
      </c>
      <c r="E11" t="s">
        <v>20</v>
      </c>
      <c r="F11" t="s">
        <v>33</v>
      </c>
      <c r="G11" s="1">
        <v>45933.791666666664</v>
      </c>
      <c r="H11" t="s">
        <v>22</v>
      </c>
      <c r="I11">
        <v>26</v>
      </c>
      <c r="J11">
        <v>10</v>
      </c>
      <c r="K11">
        <v>8</v>
      </c>
      <c r="L11">
        <v>10</v>
      </c>
      <c r="M11">
        <v>21.7</v>
      </c>
      <c r="N11">
        <v>0</v>
      </c>
      <c r="O11">
        <v>49.7</v>
      </c>
      <c r="P11">
        <v>0</v>
      </c>
      <c r="Q11" t="s">
        <v>23</v>
      </c>
      <c r="R11" t="s">
        <v>24</v>
      </c>
      <c r="S11" t="b">
        <v>1</v>
      </c>
      <c r="T11" t="b">
        <v>1</v>
      </c>
      <c r="W11" t="str" cm="1">
        <f t="array" ref="W11">_xlfn.IFS(I11&gt;J11, "Home", I11&lt;J11, "Away",I11=J11,"Draw")</f>
        <v>Home</v>
      </c>
      <c r="X11" t="str" cm="1">
        <f t="array" ref="X11">_xlfn.IFS(A11&gt;B11, "Home", A11&lt;B11, "Away",A11=B11,"Draw")</f>
        <v>Home</v>
      </c>
      <c r="Y11">
        <f t="shared" si="0"/>
        <v>1</v>
      </c>
    </row>
    <row r="12" spans="1:25" x14ac:dyDescent="0.35">
      <c r="A12">
        <v>22.981669027497301</v>
      </c>
      <c r="B12">
        <v>19.729709847396201</v>
      </c>
      <c r="C12">
        <v>12.0990830912808</v>
      </c>
      <c r="D12">
        <v>12.640136545670901</v>
      </c>
      <c r="E12" t="s">
        <v>26</v>
      </c>
      <c r="F12" t="s">
        <v>30</v>
      </c>
      <c r="G12" s="1">
        <v>45933.878472222219</v>
      </c>
      <c r="H12" t="s">
        <v>54</v>
      </c>
      <c r="I12">
        <v>17</v>
      </c>
      <c r="J12">
        <v>17</v>
      </c>
      <c r="K12">
        <v>14</v>
      </c>
      <c r="L12">
        <v>17</v>
      </c>
      <c r="M12">
        <v>17.5</v>
      </c>
      <c r="N12">
        <v>1.7</v>
      </c>
      <c r="O12">
        <v>139.69999999999999</v>
      </c>
      <c r="P12">
        <v>61</v>
      </c>
      <c r="Q12" t="s">
        <v>40</v>
      </c>
      <c r="R12" t="s">
        <v>24</v>
      </c>
      <c r="S12" t="b">
        <v>0</v>
      </c>
      <c r="T12" t="b">
        <v>1</v>
      </c>
      <c r="W12" t="str" cm="1">
        <f t="array" ref="W12">_xlfn.IFS(I12&gt;J12, "Home", I12&lt;J12, "Away",I12=J12,"Draw")</f>
        <v>Draw</v>
      </c>
      <c r="X12" t="str" cm="1">
        <f t="array" ref="X12">_xlfn.IFS(A12&gt;B12, "Home", A12&lt;B12, "Away",A12=B12,"Draw")</f>
        <v>Home</v>
      </c>
      <c r="Y12">
        <f t="shared" si="0"/>
        <v>0</v>
      </c>
    </row>
    <row r="13" spans="1:25" x14ac:dyDescent="0.35">
      <c r="E13" t="s">
        <v>49</v>
      </c>
      <c r="F13" t="s">
        <v>42</v>
      </c>
      <c r="G13" s="1">
        <v>45934.083333333336</v>
      </c>
      <c r="H13" t="s">
        <v>51</v>
      </c>
      <c r="M13">
        <v>9.4</v>
      </c>
      <c r="N13">
        <v>0.5</v>
      </c>
      <c r="O13">
        <v>147.6</v>
      </c>
      <c r="P13">
        <v>53</v>
      </c>
      <c r="Q13" t="s">
        <v>45</v>
      </c>
      <c r="R13" t="s">
        <v>24</v>
      </c>
      <c r="S13" t="b">
        <v>0</v>
      </c>
      <c r="T13" t="b">
        <v>1</v>
      </c>
    </row>
    <row r="14" spans="1:25" x14ac:dyDescent="0.35">
      <c r="A14">
        <v>23.8887282912088</v>
      </c>
      <c r="B14">
        <v>19.682221383997799</v>
      </c>
      <c r="C14">
        <v>10.2419366031012</v>
      </c>
      <c r="D14">
        <v>12.012184409778699</v>
      </c>
      <c r="E14" t="s">
        <v>50</v>
      </c>
      <c r="F14" t="s">
        <v>29</v>
      </c>
      <c r="G14" s="1">
        <v>45934.770833333336</v>
      </c>
      <c r="H14" t="s">
        <v>55</v>
      </c>
      <c r="I14">
        <v>16</v>
      </c>
      <c r="J14">
        <v>14</v>
      </c>
      <c r="K14">
        <v>3</v>
      </c>
      <c r="L14">
        <v>14</v>
      </c>
      <c r="M14">
        <v>14.2</v>
      </c>
      <c r="N14">
        <v>0</v>
      </c>
      <c r="O14">
        <v>31</v>
      </c>
      <c r="P14">
        <v>3</v>
      </c>
      <c r="Q14" t="s">
        <v>28</v>
      </c>
      <c r="R14" t="s">
        <v>24</v>
      </c>
      <c r="S14" t="b">
        <v>0</v>
      </c>
      <c r="T14" t="b">
        <v>1</v>
      </c>
      <c r="W14" t="str" cm="1">
        <f t="array" ref="W14">_xlfn.IFS(I14&gt;J14, "Home", I14&lt;J14, "Away",I14=J14,"Draw")</f>
        <v>Home</v>
      </c>
      <c r="X14" t="str" cm="1">
        <f t="array" ref="X14">_xlfn.IFS(A14&gt;B14, "Home", A14&lt;B14, "Away",A14=B14,"Draw")</f>
        <v>Home</v>
      </c>
      <c r="Y14">
        <f t="shared" si="0"/>
        <v>1</v>
      </c>
    </row>
    <row r="15" spans="1:25" x14ac:dyDescent="0.35">
      <c r="A15">
        <v>33.669620452521002</v>
      </c>
      <c r="B15">
        <v>22.8618959475635</v>
      </c>
      <c r="C15">
        <v>14.7077154666728</v>
      </c>
      <c r="D15">
        <v>10.9843596362174</v>
      </c>
      <c r="E15" t="s">
        <v>32</v>
      </c>
      <c r="F15" t="s">
        <v>21</v>
      </c>
      <c r="G15" s="1">
        <v>45934.770833333336</v>
      </c>
      <c r="H15" t="s">
        <v>34</v>
      </c>
      <c r="I15">
        <v>39</v>
      </c>
      <c r="J15">
        <v>31</v>
      </c>
      <c r="K15">
        <v>22</v>
      </c>
      <c r="L15">
        <v>10</v>
      </c>
      <c r="M15">
        <v>20</v>
      </c>
      <c r="N15">
        <v>0</v>
      </c>
      <c r="O15">
        <v>25.2</v>
      </c>
      <c r="P15">
        <v>2</v>
      </c>
      <c r="Q15" t="s">
        <v>56</v>
      </c>
      <c r="R15" t="s">
        <v>24</v>
      </c>
      <c r="S15" t="b">
        <v>1</v>
      </c>
      <c r="T15" t="b">
        <v>1</v>
      </c>
      <c r="W15" t="str" cm="1">
        <f t="array" ref="W15">_xlfn.IFS(I15&gt;J15, "Home", I15&lt;J15, "Away",I15=J15,"Draw")</f>
        <v>Home</v>
      </c>
      <c r="X15" t="str" cm="1">
        <f t="array" ref="X15">_xlfn.IFS(A15&gt;B15, "Home", A15&lt;B15, "Away",A15=B15,"Draw")</f>
        <v>Home</v>
      </c>
      <c r="Y15">
        <f t="shared" si="0"/>
        <v>1</v>
      </c>
    </row>
    <row r="16" spans="1:25" x14ac:dyDescent="0.35">
      <c r="A16">
        <v>25.6442264323221</v>
      </c>
      <c r="B16">
        <v>18.8546483439988</v>
      </c>
      <c r="C16">
        <v>10.288839124213</v>
      </c>
      <c r="D16">
        <v>10.053531971599099</v>
      </c>
      <c r="E16" t="s">
        <v>43</v>
      </c>
      <c r="F16" t="s">
        <v>46</v>
      </c>
      <c r="G16" s="1">
        <v>45934.864583333336</v>
      </c>
      <c r="H16" t="s">
        <v>57</v>
      </c>
      <c r="I16">
        <v>23</v>
      </c>
      <c r="J16">
        <v>20</v>
      </c>
      <c r="K16">
        <v>5</v>
      </c>
      <c r="L16">
        <v>5</v>
      </c>
      <c r="M16">
        <v>11.9</v>
      </c>
      <c r="N16">
        <v>0</v>
      </c>
      <c r="O16">
        <v>98.3</v>
      </c>
      <c r="P16">
        <v>1</v>
      </c>
      <c r="Q16" t="s">
        <v>58</v>
      </c>
      <c r="R16" t="s">
        <v>24</v>
      </c>
      <c r="S16" t="b">
        <v>0</v>
      </c>
      <c r="T16" t="b">
        <v>1</v>
      </c>
      <c r="W16" t="str" cm="1">
        <f t="array" ref="W16">_xlfn.IFS(I16&gt;J16, "Home", I16&lt;J16, "Away",I16=J16,"Draw")</f>
        <v>Home</v>
      </c>
      <c r="X16" t="str" cm="1">
        <f t="array" ref="X16">_xlfn.IFS(A16&gt;B16, "Home", A16&lt;B16, "Away",A16=B16,"Draw")</f>
        <v>Home</v>
      </c>
      <c r="Y16">
        <f t="shared" si="0"/>
        <v>1</v>
      </c>
    </row>
    <row r="17" spans="1:25" x14ac:dyDescent="0.35">
      <c r="A17">
        <v>26.5060650104739</v>
      </c>
      <c r="B17">
        <v>20.904865803951399</v>
      </c>
      <c r="C17">
        <v>14.0051099906992</v>
      </c>
      <c r="D17">
        <v>9.3913550503979604</v>
      </c>
      <c r="E17" t="s">
        <v>37</v>
      </c>
      <c r="F17" t="s">
        <v>47</v>
      </c>
      <c r="G17" s="1">
        <v>45935.666666666664</v>
      </c>
      <c r="H17" t="s">
        <v>39</v>
      </c>
      <c r="I17">
        <v>22</v>
      </c>
      <c r="J17">
        <v>20</v>
      </c>
      <c r="K17">
        <v>12</v>
      </c>
      <c r="L17">
        <v>3</v>
      </c>
      <c r="M17">
        <v>14.9</v>
      </c>
      <c r="N17">
        <v>0</v>
      </c>
      <c r="O17">
        <v>62.6</v>
      </c>
      <c r="P17">
        <v>0</v>
      </c>
      <c r="Q17" t="s">
        <v>23</v>
      </c>
      <c r="R17" t="s">
        <v>41</v>
      </c>
      <c r="S17" t="b">
        <v>0</v>
      </c>
      <c r="T17" t="b">
        <v>1</v>
      </c>
      <c r="W17" t="str" cm="1">
        <f t="array" ref="W17">_xlfn.IFS(I17&gt;J17, "Home", I17&lt;J17, "Away",I17=J17,"Draw")</f>
        <v>Home</v>
      </c>
      <c r="X17" t="str" cm="1">
        <f t="array" ref="X17">_xlfn.IFS(A17&gt;B17, "Home", A17&lt;B17, "Away",A17=B17,"Draw")</f>
        <v>Home</v>
      </c>
      <c r="Y17">
        <f t="shared" si="0"/>
        <v>1</v>
      </c>
    </row>
    <row r="18" spans="1:25" x14ac:dyDescent="0.35">
      <c r="A18">
        <v>22.509315149253901</v>
      </c>
      <c r="B18">
        <v>19.943864020650999</v>
      </c>
      <c r="C18">
        <v>10.819062846701399</v>
      </c>
      <c r="D18">
        <v>11.925707009850999</v>
      </c>
      <c r="E18" t="s">
        <v>43</v>
      </c>
      <c r="F18" t="s">
        <v>38</v>
      </c>
      <c r="G18" s="1">
        <v>45940.864583333336</v>
      </c>
      <c r="H18" t="s">
        <v>59</v>
      </c>
      <c r="I18">
        <v>20</v>
      </c>
      <c r="J18">
        <v>19</v>
      </c>
      <c r="K18">
        <v>10</v>
      </c>
      <c r="L18">
        <v>12</v>
      </c>
      <c r="M18">
        <v>11</v>
      </c>
      <c r="N18">
        <v>0</v>
      </c>
      <c r="O18">
        <v>11.9</v>
      </c>
      <c r="P18">
        <v>3</v>
      </c>
      <c r="Q18" t="s">
        <v>28</v>
      </c>
      <c r="R18" t="s">
        <v>24</v>
      </c>
      <c r="S18" t="b">
        <v>0</v>
      </c>
      <c r="T18" t="b">
        <v>0</v>
      </c>
      <c r="W18" t="str" cm="1">
        <f t="array" ref="W18">_xlfn.IFS(I18&gt;J18, "Home", I18&lt;J18, "Away",I18=J18,"Draw")</f>
        <v>Home</v>
      </c>
      <c r="X18" t="str" cm="1">
        <f t="array" ref="X18">_xlfn.IFS(A18&gt;B18, "Home", A18&lt;B18, "Away",A18=B18,"Draw")</f>
        <v>Home</v>
      </c>
      <c r="Y18">
        <f t="shared" si="0"/>
        <v>1</v>
      </c>
    </row>
    <row r="19" spans="1:25" x14ac:dyDescent="0.35">
      <c r="A19">
        <v>17.500618679897901</v>
      </c>
      <c r="B19">
        <v>25.866598713728202</v>
      </c>
      <c r="C19">
        <v>7.5902448581949198</v>
      </c>
      <c r="D19">
        <v>12.507586240118499</v>
      </c>
      <c r="E19" t="s">
        <v>42</v>
      </c>
      <c r="F19" t="s">
        <v>20</v>
      </c>
      <c r="G19" s="1">
        <v>45940.864583333336</v>
      </c>
      <c r="H19" t="s">
        <v>44</v>
      </c>
      <c r="I19">
        <v>0</v>
      </c>
      <c r="J19">
        <v>34</v>
      </c>
      <c r="K19">
        <v>0</v>
      </c>
      <c r="L19">
        <v>17</v>
      </c>
      <c r="M19">
        <v>13.3</v>
      </c>
      <c r="N19">
        <v>0</v>
      </c>
      <c r="O19">
        <v>28.8</v>
      </c>
      <c r="P19">
        <v>3</v>
      </c>
      <c r="Q19" t="s">
        <v>28</v>
      </c>
      <c r="R19" t="s">
        <v>24</v>
      </c>
      <c r="S19" t="b">
        <v>0</v>
      </c>
      <c r="T19" t="b">
        <v>1</v>
      </c>
      <c r="W19" t="str" cm="1">
        <f t="array" ref="W19">_xlfn.IFS(I19&gt;J19, "Home", I19&lt;J19, "Away",I19=J19,"Draw")</f>
        <v>Away</v>
      </c>
      <c r="X19" t="str" cm="1">
        <f t="array" ref="X19">_xlfn.IFS(A19&gt;B19, "Home", A19&lt;B19, "Away",A19=B19,"Draw")</f>
        <v>Away</v>
      </c>
      <c r="Y19">
        <f t="shared" si="0"/>
        <v>1</v>
      </c>
    </row>
    <row r="20" spans="1:25" x14ac:dyDescent="0.35">
      <c r="A20">
        <v>29.7125320573804</v>
      </c>
      <c r="B20">
        <v>19.328687924820201</v>
      </c>
      <c r="C20">
        <v>15.0255114457369</v>
      </c>
      <c r="D20">
        <v>10.7585224911577</v>
      </c>
      <c r="E20" t="s">
        <v>50</v>
      </c>
      <c r="F20" t="s">
        <v>47</v>
      </c>
      <c r="G20" s="1">
        <v>45941.666666666664</v>
      </c>
      <c r="H20" t="s">
        <v>55</v>
      </c>
      <c r="I20">
        <v>41</v>
      </c>
      <c r="J20">
        <v>15</v>
      </c>
      <c r="K20">
        <v>24</v>
      </c>
      <c r="L20">
        <v>10</v>
      </c>
      <c r="M20">
        <v>20.6</v>
      </c>
      <c r="N20">
        <v>0</v>
      </c>
      <c r="O20">
        <v>22</v>
      </c>
      <c r="P20">
        <v>3</v>
      </c>
      <c r="Q20" t="s">
        <v>28</v>
      </c>
      <c r="R20" t="s">
        <v>41</v>
      </c>
      <c r="S20" t="b">
        <v>0</v>
      </c>
      <c r="T20" t="b">
        <v>1</v>
      </c>
      <c r="W20" t="str" cm="1">
        <f t="array" ref="W20">_xlfn.IFS(I20&gt;J20, "Home", I20&lt;J20, "Away",I20=J20,"Draw")</f>
        <v>Home</v>
      </c>
      <c r="X20" t="str" cm="1">
        <f t="array" ref="X20">_xlfn.IFS(A20&gt;B20, "Home", A20&lt;B20, "Away",A20=B20,"Draw")</f>
        <v>Home</v>
      </c>
      <c r="Y20">
        <f t="shared" si="0"/>
        <v>1</v>
      </c>
    </row>
    <row r="21" spans="1:25" x14ac:dyDescent="0.35">
      <c r="A21">
        <v>26.138018075754999</v>
      </c>
      <c r="B21">
        <v>19.549973744845399</v>
      </c>
      <c r="C21">
        <v>12.1088588876461</v>
      </c>
      <c r="D21">
        <v>10.673410112083101</v>
      </c>
      <c r="E21" t="s">
        <v>33</v>
      </c>
      <c r="F21" t="s">
        <v>37</v>
      </c>
      <c r="G21" s="1">
        <v>45941.666666666664</v>
      </c>
      <c r="H21" t="s">
        <v>60</v>
      </c>
      <c r="I21">
        <v>24</v>
      </c>
      <c r="J21">
        <v>0</v>
      </c>
      <c r="K21">
        <v>14</v>
      </c>
      <c r="L21">
        <v>0</v>
      </c>
      <c r="M21">
        <v>14.5</v>
      </c>
      <c r="N21">
        <v>0</v>
      </c>
      <c r="O21">
        <v>35.299999999999997</v>
      </c>
      <c r="P21">
        <v>3</v>
      </c>
      <c r="Q21" t="s">
        <v>28</v>
      </c>
      <c r="R21" t="s">
        <v>36</v>
      </c>
      <c r="S21" t="b">
        <v>0</v>
      </c>
      <c r="T21" t="b">
        <v>0</v>
      </c>
      <c r="W21" t="str" cm="1">
        <f t="array" ref="W21">_xlfn.IFS(I21&gt;J21, "Home", I21&lt;J21, "Away",I21=J21,"Draw")</f>
        <v>Home</v>
      </c>
      <c r="X21" t="str" cm="1">
        <f t="array" ref="X21">_xlfn.IFS(A21&gt;B21, "Home", A21&lt;B21, "Away",A21=B21,"Draw")</f>
        <v>Home</v>
      </c>
      <c r="Y21">
        <f t="shared" si="0"/>
        <v>1</v>
      </c>
    </row>
    <row r="22" spans="1:25" x14ac:dyDescent="0.35">
      <c r="A22">
        <v>33.8576454760423</v>
      </c>
      <c r="B22">
        <v>15.9359065994161</v>
      </c>
      <c r="C22">
        <v>13.724073565472899</v>
      </c>
      <c r="D22">
        <v>8.9407699272423802</v>
      </c>
      <c r="E22" t="s">
        <v>29</v>
      </c>
      <c r="F22" t="s">
        <v>26</v>
      </c>
      <c r="G22" s="1">
        <v>45941.770833333336</v>
      </c>
      <c r="H22" t="s">
        <v>31</v>
      </c>
      <c r="I22">
        <v>49</v>
      </c>
      <c r="J22">
        <v>0</v>
      </c>
      <c r="K22">
        <v>14</v>
      </c>
      <c r="L22">
        <v>0</v>
      </c>
      <c r="M22">
        <v>14.1</v>
      </c>
      <c r="N22">
        <v>0</v>
      </c>
      <c r="O22">
        <v>27.7</v>
      </c>
      <c r="P22">
        <v>1</v>
      </c>
      <c r="Q22" t="s">
        <v>58</v>
      </c>
      <c r="R22" t="s">
        <v>41</v>
      </c>
      <c r="S22" t="b">
        <v>0</v>
      </c>
      <c r="T22" t="b">
        <v>1</v>
      </c>
      <c r="W22" t="str" cm="1">
        <f t="array" ref="W22">_xlfn.IFS(I22&gt;J22, "Home", I22&lt;J22, "Away",I22=J22,"Draw")</f>
        <v>Home</v>
      </c>
      <c r="X22" t="str" cm="1">
        <f t="array" ref="X22">_xlfn.IFS(A22&gt;B22, "Home", A22&lt;B22, "Away",A22=B22,"Draw")</f>
        <v>Home</v>
      </c>
      <c r="Y22">
        <f t="shared" si="0"/>
        <v>1</v>
      </c>
    </row>
    <row r="23" spans="1:25" x14ac:dyDescent="0.35">
      <c r="A23">
        <v>29.8686094279544</v>
      </c>
      <c r="B23">
        <v>16.622315198678599</v>
      </c>
      <c r="C23">
        <v>15.613073771314699</v>
      </c>
      <c r="D23">
        <v>11.3940683688625</v>
      </c>
      <c r="E23" t="s">
        <v>21</v>
      </c>
      <c r="F23" t="s">
        <v>30</v>
      </c>
      <c r="G23" s="1">
        <v>45941.770833333336</v>
      </c>
      <c r="H23" t="s">
        <v>61</v>
      </c>
      <c r="I23">
        <v>31</v>
      </c>
      <c r="J23">
        <v>5</v>
      </c>
      <c r="K23">
        <v>21</v>
      </c>
      <c r="L23">
        <v>5</v>
      </c>
      <c r="M23">
        <v>10.7</v>
      </c>
      <c r="N23">
        <v>0</v>
      </c>
      <c r="O23">
        <v>11.2</v>
      </c>
      <c r="P23">
        <v>3</v>
      </c>
      <c r="Q23" t="s">
        <v>28</v>
      </c>
      <c r="R23" t="s">
        <v>41</v>
      </c>
      <c r="S23" t="b">
        <v>0</v>
      </c>
      <c r="T23" t="b">
        <v>1</v>
      </c>
      <c r="W23" t="str" cm="1">
        <f t="array" ref="W23">_xlfn.IFS(I23&gt;J23, "Home", I23&lt;J23, "Away",I23=J23,"Draw")</f>
        <v>Home</v>
      </c>
      <c r="X23" t="str" cm="1">
        <f t="array" ref="X23">_xlfn.IFS(A23&gt;B23, "Home", A23&lt;B23, "Away",A23=B23,"Draw")</f>
        <v>Home</v>
      </c>
      <c r="Y23">
        <f t="shared" si="0"/>
        <v>1</v>
      </c>
    </row>
    <row r="24" spans="1:25" x14ac:dyDescent="0.35">
      <c r="A24">
        <v>27.237485135108798</v>
      </c>
      <c r="B24">
        <v>15.712194418820401</v>
      </c>
      <c r="C24">
        <v>11.778961880931099</v>
      </c>
      <c r="D24">
        <v>10.434709101536299</v>
      </c>
      <c r="E24" t="s">
        <v>25</v>
      </c>
      <c r="F24" t="s">
        <v>32</v>
      </c>
      <c r="G24" s="1">
        <v>45941.864583333336</v>
      </c>
      <c r="H24" t="s">
        <v>27</v>
      </c>
      <c r="I24">
        <v>28</v>
      </c>
      <c r="J24">
        <v>7</v>
      </c>
      <c r="K24">
        <v>7</v>
      </c>
      <c r="L24">
        <v>7</v>
      </c>
      <c r="M24">
        <v>9</v>
      </c>
      <c r="N24">
        <v>0</v>
      </c>
      <c r="O24">
        <v>2.5</v>
      </c>
      <c r="P24">
        <v>3</v>
      </c>
      <c r="Q24" t="s">
        <v>28</v>
      </c>
      <c r="R24" t="s">
        <v>24</v>
      </c>
      <c r="S24" t="b">
        <v>0</v>
      </c>
      <c r="T24" t="b">
        <v>1</v>
      </c>
      <c r="W24" t="str" cm="1">
        <f t="array" ref="W24">_xlfn.IFS(I24&gt;J24, "Home", I24&lt;J24, "Away",I24=J24,"Draw")</f>
        <v>Home</v>
      </c>
      <c r="X24" t="str" cm="1">
        <f t="array" ref="X24">_xlfn.IFS(A24&gt;B24, "Home", A24&lt;B24, "Away",A24=B24,"Draw")</f>
        <v>Home</v>
      </c>
      <c r="Y24">
        <f t="shared" si="0"/>
        <v>1</v>
      </c>
    </row>
    <row r="25" spans="1:25" x14ac:dyDescent="0.35">
      <c r="A25">
        <v>23.373893925764801</v>
      </c>
      <c r="B25">
        <v>16.1388292377478</v>
      </c>
      <c r="C25">
        <v>12.3042728090495</v>
      </c>
      <c r="D25">
        <v>9.1908189242907401</v>
      </c>
      <c r="E25" t="s">
        <v>46</v>
      </c>
      <c r="F25" t="s">
        <v>49</v>
      </c>
      <c r="G25" s="1">
        <v>45941.864583333336</v>
      </c>
      <c r="H25" t="s">
        <v>48</v>
      </c>
      <c r="I25">
        <v>14</v>
      </c>
      <c r="J25">
        <v>8</v>
      </c>
      <c r="K25">
        <v>7</v>
      </c>
      <c r="L25">
        <v>3</v>
      </c>
      <c r="M25">
        <v>11.4</v>
      </c>
      <c r="N25">
        <v>0</v>
      </c>
      <c r="O25">
        <v>27.7</v>
      </c>
      <c r="P25">
        <v>2</v>
      </c>
      <c r="Q25" t="s">
        <v>56</v>
      </c>
      <c r="R25" t="s">
        <v>24</v>
      </c>
      <c r="S25" t="b">
        <v>0</v>
      </c>
      <c r="T25" t="b">
        <v>1</v>
      </c>
      <c r="W25" t="str" cm="1">
        <f t="array" ref="W25">_xlfn.IFS(I25&gt;J25, "Home", I25&lt;J25, "Away",I25=J25,"Draw")</f>
        <v>Home</v>
      </c>
      <c r="X25" t="str" cm="1">
        <f t="array" ref="X25">_xlfn.IFS(A25&gt;B25, "Home", A25&lt;B25, "Away",A25=B25,"Draw")</f>
        <v>Home</v>
      </c>
      <c r="Y25">
        <f t="shared" si="0"/>
        <v>1</v>
      </c>
    </row>
    <row r="26" spans="1:25" x14ac:dyDescent="0.35">
      <c r="A26">
        <v>27.751278285392399</v>
      </c>
      <c r="B26">
        <v>14.5118635610956</v>
      </c>
      <c r="C26">
        <v>13.9038578735908</v>
      </c>
      <c r="D26">
        <v>7.3803676773205202</v>
      </c>
      <c r="E26" t="s">
        <v>38</v>
      </c>
      <c r="F26" t="s">
        <v>50</v>
      </c>
      <c r="G26" s="1">
        <v>45947.864583333336</v>
      </c>
      <c r="H26" t="s">
        <v>52</v>
      </c>
      <c r="I26">
        <v>43</v>
      </c>
      <c r="J26">
        <v>0</v>
      </c>
      <c r="K26">
        <v>21</v>
      </c>
      <c r="L26">
        <v>0</v>
      </c>
      <c r="M26">
        <v>9.1999999999999993</v>
      </c>
      <c r="N26">
        <v>0</v>
      </c>
      <c r="O26">
        <v>26.3</v>
      </c>
      <c r="P26">
        <v>2</v>
      </c>
      <c r="Q26" t="s">
        <v>56</v>
      </c>
      <c r="R26" t="s">
        <v>24</v>
      </c>
      <c r="S26" t="b">
        <v>0</v>
      </c>
      <c r="T26" t="b">
        <v>1</v>
      </c>
      <c r="W26" t="str" cm="1">
        <f t="array" ref="W26">_xlfn.IFS(I26&gt;J26, "Home", I26&lt;J26, "Away",I26=J26,"Draw")</f>
        <v>Home</v>
      </c>
      <c r="X26" t="str" cm="1">
        <f t="array" ref="X26">_xlfn.IFS(A26&gt;B26, "Home", A26&lt;B26, "Away",A26=B26,"Draw")</f>
        <v>Home</v>
      </c>
      <c r="Y26">
        <f t="shared" si="0"/>
        <v>1</v>
      </c>
    </row>
    <row r="27" spans="1:25" x14ac:dyDescent="0.35">
      <c r="A27">
        <v>24.510594812697601</v>
      </c>
      <c r="B27">
        <v>20.147591685626001</v>
      </c>
      <c r="C27">
        <v>9.8199219204042905</v>
      </c>
      <c r="D27">
        <v>10.441116930898399</v>
      </c>
      <c r="E27" t="s">
        <v>49</v>
      </c>
      <c r="F27" t="s">
        <v>32</v>
      </c>
      <c r="G27" s="1">
        <v>45947.864583333336</v>
      </c>
      <c r="H27" t="s">
        <v>51</v>
      </c>
      <c r="I27">
        <v>27</v>
      </c>
      <c r="J27">
        <v>28</v>
      </c>
      <c r="K27">
        <v>7</v>
      </c>
      <c r="L27">
        <v>12</v>
      </c>
      <c r="M27">
        <v>12.3</v>
      </c>
      <c r="N27">
        <v>0</v>
      </c>
      <c r="O27">
        <v>54.7</v>
      </c>
      <c r="P27">
        <v>3</v>
      </c>
      <c r="Q27" t="s">
        <v>28</v>
      </c>
      <c r="R27" t="s">
        <v>24</v>
      </c>
      <c r="S27" t="b">
        <v>0</v>
      </c>
      <c r="T27" t="b">
        <v>1</v>
      </c>
      <c r="W27" t="str" cm="1">
        <f t="array" ref="W27">_xlfn.IFS(I27&gt;J27, "Home", I27&lt;J27, "Away",I27=J27,"Draw")</f>
        <v>Away</v>
      </c>
      <c r="X27" t="str" cm="1">
        <f t="array" ref="X27">_xlfn.IFS(A27&gt;B27, "Home", A27&lt;B27, "Away",A27=B27,"Draw")</f>
        <v>Home</v>
      </c>
      <c r="Y27">
        <f t="shared" si="0"/>
        <v>0</v>
      </c>
    </row>
    <row r="28" spans="1:25" x14ac:dyDescent="0.35">
      <c r="A28">
        <v>21.8486591330302</v>
      </c>
      <c r="B28">
        <v>20.6706996271169</v>
      </c>
      <c r="C28">
        <v>9.5134154630243799</v>
      </c>
      <c r="D28">
        <v>12.7077339327967</v>
      </c>
      <c r="E28" t="s">
        <v>26</v>
      </c>
      <c r="F28" t="s">
        <v>46</v>
      </c>
      <c r="G28" s="1">
        <v>45947.864583333336</v>
      </c>
      <c r="H28" t="s">
        <v>54</v>
      </c>
      <c r="I28">
        <v>17</v>
      </c>
      <c r="J28">
        <v>24</v>
      </c>
      <c r="K28">
        <v>7</v>
      </c>
      <c r="L28">
        <v>17</v>
      </c>
      <c r="M28">
        <v>13.5</v>
      </c>
      <c r="N28">
        <v>0</v>
      </c>
      <c r="O28">
        <v>45</v>
      </c>
      <c r="P28">
        <v>3</v>
      </c>
      <c r="Q28" t="s">
        <v>28</v>
      </c>
      <c r="R28" t="s">
        <v>24</v>
      </c>
      <c r="S28" t="b">
        <v>0</v>
      </c>
      <c r="T28" t="b">
        <v>1</v>
      </c>
      <c r="W28" t="str" cm="1">
        <f t="array" ref="W28">_xlfn.IFS(I28&gt;J28, "Home", I28&lt;J28, "Away",I28=J28,"Draw")</f>
        <v>Away</v>
      </c>
      <c r="X28" t="str" cm="1">
        <f t="array" ref="X28">_xlfn.IFS(A28&gt;B28, "Home", A28&lt;B28, "Away",A28=B28,"Draw")</f>
        <v>Home</v>
      </c>
      <c r="Y28">
        <f t="shared" si="0"/>
        <v>0</v>
      </c>
    </row>
    <row r="29" spans="1:25" x14ac:dyDescent="0.35">
      <c r="A29">
        <v>32.924212327802401</v>
      </c>
      <c r="B29">
        <v>22.258377421731499</v>
      </c>
      <c r="C29">
        <v>11.935116855504999</v>
      </c>
      <c r="D29">
        <v>10.563011797073999</v>
      </c>
      <c r="E29" t="s">
        <v>47</v>
      </c>
      <c r="F29" t="s">
        <v>42</v>
      </c>
      <c r="G29" s="1">
        <v>45948.572916666664</v>
      </c>
      <c r="H29" t="s">
        <v>62</v>
      </c>
      <c r="I29">
        <v>29</v>
      </c>
      <c r="J29">
        <v>18</v>
      </c>
      <c r="K29">
        <v>5</v>
      </c>
      <c r="L29">
        <v>3</v>
      </c>
      <c r="M29">
        <v>16.7</v>
      </c>
      <c r="N29">
        <v>0.1</v>
      </c>
      <c r="O29">
        <v>64.8</v>
      </c>
      <c r="P29">
        <v>51</v>
      </c>
      <c r="Q29" t="s">
        <v>53</v>
      </c>
      <c r="R29" t="s">
        <v>36</v>
      </c>
      <c r="S29" t="b">
        <v>1</v>
      </c>
      <c r="T29" t="b">
        <v>1</v>
      </c>
      <c r="W29" t="str" cm="1">
        <f t="array" ref="W29">_xlfn.IFS(I29&gt;J29, "Home", I29&lt;J29, "Away",I29=J29,"Draw")</f>
        <v>Home</v>
      </c>
      <c r="X29" t="str" cm="1">
        <f t="array" ref="X29">_xlfn.IFS(A29&gt;B29, "Home", A29&lt;B29, "Away",A29=B29,"Draw")</f>
        <v>Home</v>
      </c>
      <c r="Y29">
        <f t="shared" si="0"/>
        <v>1</v>
      </c>
    </row>
    <row r="30" spans="1:25" x14ac:dyDescent="0.35">
      <c r="A30">
        <v>32.865289980157101</v>
      </c>
      <c r="B30">
        <v>24.393280242770999</v>
      </c>
      <c r="C30">
        <v>12.947160168517099</v>
      </c>
      <c r="D30">
        <v>14.912449678246499</v>
      </c>
      <c r="E30" t="s">
        <v>30</v>
      </c>
      <c r="F30" t="s">
        <v>25</v>
      </c>
      <c r="G30" s="1">
        <v>45948.666666666664</v>
      </c>
      <c r="H30" t="s">
        <v>63</v>
      </c>
      <c r="I30">
        <v>26</v>
      </c>
      <c r="J30">
        <v>34</v>
      </c>
      <c r="K30">
        <v>5</v>
      </c>
      <c r="L30">
        <v>20</v>
      </c>
      <c r="M30">
        <v>23.6</v>
      </c>
      <c r="N30">
        <v>0</v>
      </c>
      <c r="O30">
        <v>108.7</v>
      </c>
      <c r="P30">
        <v>3</v>
      </c>
      <c r="Q30" t="s">
        <v>28</v>
      </c>
      <c r="R30" t="s">
        <v>41</v>
      </c>
      <c r="S30" t="b">
        <v>1</v>
      </c>
      <c r="T30" t="b">
        <v>1</v>
      </c>
      <c r="W30" t="str" cm="1">
        <f t="array" ref="W30">_xlfn.IFS(I30&gt;J30, "Home", I30&lt;J30, "Away",I30=J30,"Draw")</f>
        <v>Away</v>
      </c>
      <c r="X30" t="str" cm="1">
        <f t="array" ref="X30">_xlfn.IFS(A30&gt;B30, "Home", A30&lt;B30, "Away",A30=B30,"Draw")</f>
        <v>Home</v>
      </c>
      <c r="Y30">
        <f t="shared" si="0"/>
        <v>0</v>
      </c>
    </row>
    <row r="31" spans="1:25" x14ac:dyDescent="0.35">
      <c r="A31">
        <v>23.4751042117488</v>
      </c>
      <c r="B31">
        <v>22.898806994434899</v>
      </c>
      <c r="C31">
        <v>11.3288025871079</v>
      </c>
      <c r="D31">
        <v>13.8039414481308</v>
      </c>
      <c r="E31" t="s">
        <v>21</v>
      </c>
      <c r="F31" t="s">
        <v>43</v>
      </c>
      <c r="G31" s="1">
        <v>45948.760416666664</v>
      </c>
      <c r="H31" t="s">
        <v>64</v>
      </c>
      <c r="I31">
        <v>14</v>
      </c>
      <c r="J31">
        <v>31</v>
      </c>
      <c r="K31">
        <v>7</v>
      </c>
      <c r="L31">
        <v>21</v>
      </c>
      <c r="M31">
        <v>13.5</v>
      </c>
      <c r="N31">
        <v>0</v>
      </c>
      <c r="O31">
        <v>101.5</v>
      </c>
      <c r="P31">
        <v>3</v>
      </c>
      <c r="Q31" t="s">
        <v>28</v>
      </c>
      <c r="R31" t="s">
        <v>41</v>
      </c>
      <c r="S31" t="b">
        <v>0</v>
      </c>
      <c r="T31" t="b">
        <v>0</v>
      </c>
      <c r="W31" t="str" cm="1">
        <f t="array" ref="W31">_xlfn.IFS(I31&gt;J31, "Home", I31&lt;J31, "Away",I31=J31,"Draw")</f>
        <v>Away</v>
      </c>
      <c r="X31" t="str" cm="1">
        <f t="array" ref="X31">_xlfn.IFS(A31&gt;B31, "Home", A31&lt;B31, "Away",A31=B31,"Draw")</f>
        <v>Home</v>
      </c>
      <c r="Y31">
        <f t="shared" si="0"/>
        <v>0</v>
      </c>
    </row>
    <row r="32" spans="1:25" x14ac:dyDescent="0.35">
      <c r="A32">
        <v>18.651080778478999</v>
      </c>
      <c r="B32">
        <v>24.928700493885302</v>
      </c>
      <c r="C32">
        <v>10.095816181542</v>
      </c>
      <c r="D32">
        <v>11.0624757167658</v>
      </c>
      <c r="E32" t="s">
        <v>37</v>
      </c>
      <c r="F32" t="s">
        <v>20</v>
      </c>
      <c r="G32" s="1">
        <v>45948.864583333336</v>
      </c>
      <c r="H32" t="s">
        <v>39</v>
      </c>
      <c r="I32">
        <v>13</v>
      </c>
      <c r="J32">
        <v>31</v>
      </c>
      <c r="K32">
        <v>7</v>
      </c>
      <c r="L32">
        <v>12</v>
      </c>
      <c r="M32">
        <v>13.3</v>
      </c>
      <c r="N32">
        <v>0</v>
      </c>
      <c r="O32">
        <v>23.4</v>
      </c>
      <c r="P32">
        <v>0</v>
      </c>
      <c r="Q32" t="s">
        <v>23</v>
      </c>
      <c r="R32" t="s">
        <v>24</v>
      </c>
      <c r="S32" t="b">
        <v>0</v>
      </c>
      <c r="T32" t="b">
        <v>1</v>
      </c>
      <c r="W32" t="str" cm="1">
        <f t="array" ref="W32">_xlfn.IFS(I32&gt;J32, "Home", I32&lt;J32, "Away",I32=J32,"Draw")</f>
        <v>Away</v>
      </c>
      <c r="X32" t="str" cm="1">
        <f t="array" ref="X32">_xlfn.IFS(A32&gt;B32, "Home", A32&lt;B32, "Away",A32=B32,"Draw")</f>
        <v>Away</v>
      </c>
      <c r="Y32">
        <f t="shared" si="0"/>
        <v>1</v>
      </c>
    </row>
    <row r="33" spans="1:25" x14ac:dyDescent="0.35">
      <c r="A33">
        <v>21.003270605712601</v>
      </c>
      <c r="B33">
        <v>24.023739020651</v>
      </c>
      <c r="C33">
        <v>10.0554017028016</v>
      </c>
      <c r="D33">
        <v>12.6749484153025</v>
      </c>
      <c r="E33" t="s">
        <v>33</v>
      </c>
      <c r="F33" t="s">
        <v>29</v>
      </c>
      <c r="G33" s="1">
        <v>45948.864583333336</v>
      </c>
      <c r="H33" t="s">
        <v>60</v>
      </c>
      <c r="I33">
        <v>17</v>
      </c>
      <c r="J33">
        <v>42</v>
      </c>
      <c r="K33">
        <v>10</v>
      </c>
      <c r="L33">
        <v>21</v>
      </c>
      <c r="M33">
        <v>12.3</v>
      </c>
      <c r="N33">
        <v>0.2</v>
      </c>
      <c r="O33">
        <v>104.8</v>
      </c>
      <c r="P33">
        <v>51</v>
      </c>
      <c r="Q33" t="s">
        <v>53</v>
      </c>
      <c r="R33" t="s">
        <v>24</v>
      </c>
      <c r="S33" t="b">
        <v>0</v>
      </c>
      <c r="T33" t="b">
        <v>0</v>
      </c>
      <c r="W33" t="str" cm="1">
        <f t="array" ref="W33">_xlfn.IFS(I33&gt;J33, "Home", I33&lt;J33, "Away",I33=J33,"Draw")</f>
        <v>Away</v>
      </c>
      <c r="X33" t="str" cm="1">
        <f t="array" ref="X33">_xlfn.IFS(A33&gt;B33, "Home", A33&lt;B33, "Away",A33=B33,"Draw")</f>
        <v>Away</v>
      </c>
      <c r="Y33">
        <f t="shared" si="0"/>
        <v>1</v>
      </c>
    </row>
    <row r="34" spans="1:25" x14ac:dyDescent="0.35">
      <c r="A34">
        <v>27.489198907039501</v>
      </c>
      <c r="B34">
        <v>14.8239984218707</v>
      </c>
      <c r="C34">
        <v>10.4026466045962</v>
      </c>
      <c r="D34">
        <v>8.9501268313296904</v>
      </c>
      <c r="E34" t="s">
        <v>29</v>
      </c>
      <c r="F34" t="s">
        <v>32</v>
      </c>
      <c r="G34" s="1">
        <v>45954.864583333336</v>
      </c>
      <c r="H34" t="s">
        <v>31</v>
      </c>
      <c r="I34">
        <v>21</v>
      </c>
      <c r="J34">
        <v>12</v>
      </c>
      <c r="K34">
        <v>7</v>
      </c>
      <c r="L34">
        <v>5</v>
      </c>
      <c r="M34">
        <v>9.1</v>
      </c>
      <c r="N34">
        <v>0</v>
      </c>
      <c r="O34">
        <v>62.6</v>
      </c>
      <c r="P34">
        <v>3</v>
      </c>
      <c r="Q34" t="s">
        <v>28</v>
      </c>
      <c r="R34" t="s">
        <v>24</v>
      </c>
      <c r="S34" t="b">
        <v>0</v>
      </c>
      <c r="T34" t="b">
        <v>1</v>
      </c>
      <c r="W34" t="str" cm="1">
        <f t="array" ref="W34">_xlfn.IFS(I34&gt;J34, "Home", I34&lt;J34, "Away",I34=J34,"Draw")</f>
        <v>Home</v>
      </c>
      <c r="X34" t="str" cm="1">
        <f t="array" ref="X34">_xlfn.IFS(A34&gt;B34, "Home", A34&lt;B34, "Away",A34=B34,"Draw")</f>
        <v>Home</v>
      </c>
      <c r="Y34">
        <f t="shared" si="0"/>
        <v>1</v>
      </c>
    </row>
    <row r="35" spans="1:25" x14ac:dyDescent="0.35">
      <c r="A35">
        <v>36.582521323917497</v>
      </c>
      <c r="B35">
        <v>24.370694771979601</v>
      </c>
      <c r="C35">
        <v>13.118559165753201</v>
      </c>
      <c r="D35">
        <v>13.853891639819</v>
      </c>
      <c r="E35" t="s">
        <v>47</v>
      </c>
      <c r="F35" t="s">
        <v>25</v>
      </c>
      <c r="G35" s="1">
        <v>45955.572916666664</v>
      </c>
      <c r="H35" t="s">
        <v>62</v>
      </c>
      <c r="I35">
        <v>49</v>
      </c>
      <c r="J35">
        <v>31</v>
      </c>
      <c r="K35">
        <v>17</v>
      </c>
      <c r="L35">
        <v>19</v>
      </c>
      <c r="M35">
        <v>28.3</v>
      </c>
      <c r="N35">
        <v>0</v>
      </c>
      <c r="O35">
        <v>46.8</v>
      </c>
      <c r="P35">
        <v>0</v>
      </c>
      <c r="Q35" t="s">
        <v>23</v>
      </c>
      <c r="R35" t="s">
        <v>36</v>
      </c>
      <c r="S35" t="b">
        <v>1</v>
      </c>
      <c r="T35" t="b">
        <v>1</v>
      </c>
      <c r="W35" t="str" cm="1">
        <f t="array" ref="W35">_xlfn.IFS(I35&gt;J35, "Home", I35&lt;J35, "Away",I35=J35,"Draw")</f>
        <v>Home</v>
      </c>
      <c r="X35" t="str" cm="1">
        <f t="array" ref="X35">_xlfn.IFS(A35&gt;B35, "Home", A35&lt;B35, "Away",A35=B35,"Draw")</f>
        <v>Home</v>
      </c>
      <c r="Y35">
        <f t="shared" si="0"/>
        <v>1</v>
      </c>
    </row>
    <row r="36" spans="1:25" x14ac:dyDescent="0.35">
      <c r="A36">
        <v>32.5238705095706</v>
      </c>
      <c r="B36">
        <v>22.3920211481576</v>
      </c>
      <c r="C36">
        <v>13.756689311644999</v>
      </c>
      <c r="D36">
        <v>13.846439629815499</v>
      </c>
      <c r="E36" t="s">
        <v>30</v>
      </c>
      <c r="F36" t="s">
        <v>42</v>
      </c>
      <c r="G36" s="1">
        <v>45955.666666666664</v>
      </c>
      <c r="H36" t="s">
        <v>63</v>
      </c>
      <c r="I36">
        <v>29</v>
      </c>
      <c r="J36">
        <v>19</v>
      </c>
      <c r="K36">
        <v>19</v>
      </c>
      <c r="L36">
        <v>14</v>
      </c>
      <c r="M36">
        <v>27.3</v>
      </c>
      <c r="N36">
        <v>0</v>
      </c>
      <c r="O36">
        <v>63</v>
      </c>
      <c r="P36">
        <v>0</v>
      </c>
      <c r="Q36" t="s">
        <v>23</v>
      </c>
      <c r="R36" t="s">
        <v>41</v>
      </c>
      <c r="S36" t="b">
        <v>1</v>
      </c>
      <c r="T36" t="b">
        <v>1</v>
      </c>
      <c r="W36" t="str" cm="1">
        <f t="array" ref="W36">_xlfn.IFS(I36&gt;J36, "Home", I36&lt;J36, "Away",I36=J36,"Draw")</f>
        <v>Home</v>
      </c>
      <c r="X36" t="str" cm="1">
        <f t="array" ref="X36">_xlfn.IFS(A36&gt;B36, "Home", A36&lt;B36, "Away",A36=B36,"Draw")</f>
        <v>Home</v>
      </c>
      <c r="Y36">
        <f t="shared" si="0"/>
        <v>1</v>
      </c>
    </row>
    <row r="37" spans="1:25" x14ac:dyDescent="0.35">
      <c r="A37">
        <v>32.313423876277596</v>
      </c>
      <c r="B37">
        <v>17.588926659702601</v>
      </c>
      <c r="C37">
        <v>15.8473604975027</v>
      </c>
      <c r="D37">
        <v>11.840587462336799</v>
      </c>
      <c r="E37" t="s">
        <v>21</v>
      </c>
      <c r="F37" t="s">
        <v>37</v>
      </c>
      <c r="G37" s="1">
        <v>45955.770833333336</v>
      </c>
      <c r="H37" t="s">
        <v>61</v>
      </c>
      <c r="I37">
        <v>50</v>
      </c>
      <c r="J37">
        <v>26</v>
      </c>
      <c r="K37">
        <v>26</v>
      </c>
      <c r="L37">
        <v>21</v>
      </c>
      <c r="M37">
        <v>9</v>
      </c>
      <c r="N37">
        <v>0</v>
      </c>
      <c r="O37">
        <v>77.8</v>
      </c>
      <c r="P37">
        <v>1</v>
      </c>
      <c r="Q37" t="s">
        <v>58</v>
      </c>
      <c r="R37" t="s">
        <v>41</v>
      </c>
      <c r="S37" t="b">
        <v>0</v>
      </c>
      <c r="T37" t="b">
        <v>1</v>
      </c>
      <c r="W37" t="str" cm="1">
        <f t="array" ref="W37">_xlfn.IFS(I37&gt;J37, "Home", I37&lt;J37, "Away",I37=J37,"Draw")</f>
        <v>Home</v>
      </c>
      <c r="X37" t="str" cm="1">
        <f t="array" ref="X37">_xlfn.IFS(A37&gt;B37, "Home", A37&lt;B37, "Away",A37=B37,"Draw")</f>
        <v>Home</v>
      </c>
      <c r="Y37">
        <f t="shared" si="0"/>
        <v>1</v>
      </c>
    </row>
    <row r="38" spans="1:25" x14ac:dyDescent="0.35">
      <c r="A38">
        <v>19.508369576532999</v>
      </c>
      <c r="B38">
        <v>23.679592689767102</v>
      </c>
      <c r="C38">
        <v>12.428928803574999</v>
      </c>
      <c r="D38">
        <v>9.9017876740039004</v>
      </c>
      <c r="E38" t="s">
        <v>50</v>
      </c>
      <c r="F38" t="s">
        <v>20</v>
      </c>
      <c r="G38" s="1">
        <v>45955.770833333336</v>
      </c>
      <c r="H38" t="s">
        <v>55</v>
      </c>
      <c r="I38">
        <v>16</v>
      </c>
      <c r="J38">
        <v>31</v>
      </c>
      <c r="K38">
        <v>16</v>
      </c>
      <c r="L38">
        <v>8</v>
      </c>
      <c r="M38">
        <v>12.8</v>
      </c>
      <c r="N38">
        <v>0</v>
      </c>
      <c r="O38">
        <v>14.4</v>
      </c>
      <c r="P38">
        <v>2</v>
      </c>
      <c r="Q38" t="s">
        <v>56</v>
      </c>
      <c r="R38" t="s">
        <v>24</v>
      </c>
      <c r="S38" t="b">
        <v>0</v>
      </c>
      <c r="T38" t="b">
        <v>1</v>
      </c>
      <c r="W38" t="str" cm="1">
        <f t="array" ref="W38">_xlfn.IFS(I38&gt;J38, "Home", I38&lt;J38, "Away",I38=J38,"Draw")</f>
        <v>Away</v>
      </c>
      <c r="X38" t="str" cm="1">
        <f t="array" ref="X38">_xlfn.IFS(A38&gt;B38, "Home", A38&lt;B38, "Away",A38=B38,"Draw")</f>
        <v>Away</v>
      </c>
      <c r="Y38">
        <f t="shared" si="0"/>
        <v>1</v>
      </c>
    </row>
    <row r="39" spans="1:25" x14ac:dyDescent="0.35">
      <c r="A39">
        <v>27.972308160379001</v>
      </c>
      <c r="B39">
        <v>18.599192181965101</v>
      </c>
      <c r="C39">
        <v>12.611438492957801</v>
      </c>
      <c r="D39">
        <v>12.3321887839261</v>
      </c>
      <c r="E39" t="s">
        <v>26</v>
      </c>
      <c r="F39" t="s">
        <v>33</v>
      </c>
      <c r="G39" s="1">
        <v>45955.770833333336</v>
      </c>
      <c r="H39" t="s">
        <v>54</v>
      </c>
      <c r="I39">
        <v>19</v>
      </c>
      <c r="J39">
        <v>19</v>
      </c>
      <c r="K39">
        <v>7</v>
      </c>
      <c r="L39">
        <v>12</v>
      </c>
      <c r="M39">
        <v>8.8000000000000007</v>
      </c>
      <c r="N39">
        <v>0</v>
      </c>
      <c r="O39">
        <v>70.2</v>
      </c>
      <c r="P39">
        <v>1</v>
      </c>
      <c r="Q39" t="s">
        <v>58</v>
      </c>
      <c r="R39" t="s">
        <v>41</v>
      </c>
      <c r="S39" t="b">
        <v>0</v>
      </c>
      <c r="T39" t="b">
        <v>1</v>
      </c>
      <c r="W39" t="str" cm="1">
        <f t="array" ref="W39">_xlfn.IFS(I39&gt;J39, "Home", I39&lt;J39, "Away",I39=J39,"Draw")</f>
        <v>Draw</v>
      </c>
      <c r="X39" t="str" cm="1">
        <f t="array" ref="X39">_xlfn.IFS(A39&gt;B39, "Home", A39&lt;B39, "Away",A39=B39,"Draw")</f>
        <v>Home</v>
      </c>
      <c r="Y39">
        <f t="shared" si="0"/>
        <v>0</v>
      </c>
    </row>
    <row r="40" spans="1:25" x14ac:dyDescent="0.35">
      <c r="A40">
        <v>23.134564507738499</v>
      </c>
      <c r="B40">
        <v>16.3267672262131</v>
      </c>
      <c r="C40">
        <v>10.866219353657</v>
      </c>
      <c r="D40">
        <v>10.863478817613199</v>
      </c>
      <c r="E40" t="s">
        <v>43</v>
      </c>
      <c r="F40" t="s">
        <v>49</v>
      </c>
      <c r="G40" s="1">
        <v>45955.864583333336</v>
      </c>
      <c r="H40" t="s">
        <v>57</v>
      </c>
      <c r="I40">
        <v>17</v>
      </c>
      <c r="J40">
        <v>15</v>
      </c>
      <c r="K40">
        <v>12</v>
      </c>
      <c r="L40">
        <v>15</v>
      </c>
      <c r="M40">
        <v>8.6</v>
      </c>
      <c r="N40">
        <v>0</v>
      </c>
      <c r="O40">
        <v>70.599999999999994</v>
      </c>
      <c r="P40">
        <v>0</v>
      </c>
      <c r="Q40" t="s">
        <v>23</v>
      </c>
      <c r="R40" t="s">
        <v>24</v>
      </c>
      <c r="S40" t="b">
        <v>0</v>
      </c>
      <c r="T40" t="b">
        <v>1</v>
      </c>
      <c r="W40" t="str" cm="1">
        <f t="array" ref="W40">_xlfn.IFS(I40&gt;J40, "Home", I40&lt;J40, "Away",I40=J40,"Draw")</f>
        <v>Home</v>
      </c>
      <c r="X40" t="str" cm="1">
        <f t="array" ref="X40">_xlfn.IFS(A40&gt;B40, "Home", A40&lt;B40, "Away",A40=B40,"Draw")</f>
        <v>Home</v>
      </c>
      <c r="Y40">
        <f t="shared" si="0"/>
        <v>1</v>
      </c>
    </row>
    <row r="41" spans="1:25" x14ac:dyDescent="0.35">
      <c r="A41">
        <v>24.9196165072482</v>
      </c>
      <c r="B41">
        <v>16.234608346087899</v>
      </c>
      <c r="C41">
        <v>12.8817420607055</v>
      </c>
      <c r="D41">
        <v>10.677675985697901</v>
      </c>
      <c r="E41" t="s">
        <v>46</v>
      </c>
      <c r="F41" t="s">
        <v>38</v>
      </c>
      <c r="G41" s="1">
        <v>45955.864583333336</v>
      </c>
      <c r="H41" t="s">
        <v>48</v>
      </c>
      <c r="I41">
        <v>20</v>
      </c>
      <c r="J41">
        <v>19</v>
      </c>
      <c r="K41">
        <v>12</v>
      </c>
      <c r="L41">
        <v>19</v>
      </c>
      <c r="M41">
        <v>7.8</v>
      </c>
      <c r="N41">
        <v>0</v>
      </c>
      <c r="O41">
        <v>52.6</v>
      </c>
      <c r="P41">
        <v>2</v>
      </c>
      <c r="Q41" t="s">
        <v>56</v>
      </c>
      <c r="R41" t="s">
        <v>24</v>
      </c>
      <c r="S41" t="b">
        <v>0</v>
      </c>
      <c r="T41" t="b">
        <v>1</v>
      </c>
      <c r="W41" t="str" cm="1">
        <f t="array" ref="W41">_xlfn.IFS(I41&gt;J41, "Home", I41&lt;J41, "Away",I41=J41,"Draw")</f>
        <v>Home</v>
      </c>
      <c r="X41" t="str" cm="1">
        <f t="array" ref="X41">_xlfn.IFS(A41&gt;B41, "Home", A41&lt;B41, "Away",A41=B41,"Draw")</f>
        <v>Home</v>
      </c>
      <c r="Y41">
        <f t="shared" si="0"/>
        <v>1</v>
      </c>
    </row>
    <row r="42" spans="1:25" x14ac:dyDescent="0.35">
      <c r="E42" t="s">
        <v>25</v>
      </c>
      <c r="F42" t="s">
        <v>50</v>
      </c>
      <c r="G42" s="1">
        <v>45989.90625</v>
      </c>
      <c r="H42" t="s">
        <v>27</v>
      </c>
      <c r="R42" t="s">
        <v>24</v>
      </c>
      <c r="S42" t="b">
        <v>0</v>
      </c>
      <c r="T42" t="b">
        <v>1</v>
      </c>
      <c r="Y42" s="2">
        <f>SUM(Y2:Y41)/COUNTA(Y2:Y41)</f>
        <v>0.81578947368421051</v>
      </c>
    </row>
    <row r="43" spans="1:25" x14ac:dyDescent="0.35">
      <c r="E43" t="s">
        <v>26</v>
      </c>
      <c r="F43" t="s">
        <v>21</v>
      </c>
      <c r="G43" s="1">
        <v>45989.90625</v>
      </c>
      <c r="H43" t="s">
        <v>54</v>
      </c>
      <c r="R43" t="s">
        <v>24</v>
      </c>
      <c r="S43" t="b">
        <v>0</v>
      </c>
      <c r="T43" t="b">
        <v>1</v>
      </c>
    </row>
    <row r="44" spans="1:25" x14ac:dyDescent="0.35">
      <c r="E44" t="s">
        <v>32</v>
      </c>
      <c r="F44" t="s">
        <v>47</v>
      </c>
      <c r="G44" s="1">
        <v>45990.583333333336</v>
      </c>
      <c r="H44" t="s">
        <v>34</v>
      </c>
      <c r="R44" t="s">
        <v>36</v>
      </c>
      <c r="S44" t="b">
        <v>1</v>
      </c>
      <c r="T44" t="b">
        <v>1</v>
      </c>
    </row>
    <row r="45" spans="1:25" x14ac:dyDescent="0.35">
      <c r="E45" t="s">
        <v>37</v>
      </c>
      <c r="F45" t="s">
        <v>46</v>
      </c>
      <c r="G45" s="1">
        <v>45990.625</v>
      </c>
      <c r="H45" t="s">
        <v>39</v>
      </c>
      <c r="R45" t="s">
        <v>41</v>
      </c>
      <c r="S45" t="b">
        <v>0</v>
      </c>
      <c r="T45" t="b">
        <v>1</v>
      </c>
    </row>
    <row r="46" spans="1:25" x14ac:dyDescent="0.35">
      <c r="E46" t="s">
        <v>43</v>
      </c>
      <c r="F46" t="s">
        <v>20</v>
      </c>
      <c r="G46" s="1">
        <v>45990.8125</v>
      </c>
      <c r="H46" t="s">
        <v>57</v>
      </c>
      <c r="R46" t="s">
        <v>41</v>
      </c>
      <c r="S46" t="b">
        <v>0</v>
      </c>
      <c r="T46" t="b">
        <v>1</v>
      </c>
    </row>
    <row r="47" spans="1:25" x14ac:dyDescent="0.35">
      <c r="E47" t="s">
        <v>38</v>
      </c>
      <c r="F47" t="s">
        <v>33</v>
      </c>
      <c r="G47" s="1">
        <v>45990.8125</v>
      </c>
      <c r="H47" t="s">
        <v>52</v>
      </c>
      <c r="R47" t="s">
        <v>41</v>
      </c>
      <c r="S47" t="b">
        <v>0</v>
      </c>
      <c r="T47" t="b">
        <v>1</v>
      </c>
    </row>
    <row r="48" spans="1:25" x14ac:dyDescent="0.35">
      <c r="E48" t="s">
        <v>49</v>
      </c>
      <c r="F48" t="s">
        <v>30</v>
      </c>
      <c r="G48" s="1">
        <v>45990.90625</v>
      </c>
      <c r="H48" t="s">
        <v>51</v>
      </c>
      <c r="R48" t="s">
        <v>24</v>
      </c>
      <c r="S48" t="b">
        <v>0</v>
      </c>
      <c r="T48" t="b">
        <v>1</v>
      </c>
    </row>
    <row r="49" spans="5:20" x14ac:dyDescent="0.35">
      <c r="E49" t="s">
        <v>42</v>
      </c>
      <c r="F49" t="s">
        <v>29</v>
      </c>
      <c r="G49" s="1">
        <v>45990.90625</v>
      </c>
      <c r="H49" t="s">
        <v>44</v>
      </c>
      <c r="R49" t="s">
        <v>24</v>
      </c>
      <c r="S49" t="b">
        <v>0</v>
      </c>
      <c r="T49" t="b">
        <v>1</v>
      </c>
    </row>
    <row r="50" spans="5:20" x14ac:dyDescent="0.35">
      <c r="E50" t="s">
        <v>46</v>
      </c>
      <c r="F50" t="s">
        <v>42</v>
      </c>
      <c r="G50" s="1">
        <v>46010.90625</v>
      </c>
      <c r="H50" t="s">
        <v>48</v>
      </c>
      <c r="R50" t="s">
        <v>24</v>
      </c>
      <c r="S50" t="b">
        <v>0</v>
      </c>
      <c r="T50" t="b">
        <v>1</v>
      </c>
    </row>
    <row r="51" spans="5:20" x14ac:dyDescent="0.35">
      <c r="E51" t="s">
        <v>21</v>
      </c>
      <c r="F51" t="s">
        <v>25</v>
      </c>
      <c r="G51" s="1">
        <v>46010.90625</v>
      </c>
      <c r="H51" t="s">
        <v>61</v>
      </c>
      <c r="R51" t="s">
        <v>24</v>
      </c>
      <c r="S51" t="b">
        <v>0</v>
      </c>
      <c r="T51" t="b">
        <v>1</v>
      </c>
    </row>
    <row r="52" spans="5:20" x14ac:dyDescent="0.35">
      <c r="E52" t="s">
        <v>20</v>
      </c>
      <c r="F52" t="s">
        <v>47</v>
      </c>
      <c r="G52" s="1">
        <v>46011.645833333336</v>
      </c>
      <c r="H52" t="s">
        <v>22</v>
      </c>
      <c r="R52" t="s">
        <v>41</v>
      </c>
      <c r="S52" t="b">
        <v>1</v>
      </c>
      <c r="T52" t="b">
        <v>1</v>
      </c>
    </row>
    <row r="53" spans="5:20" x14ac:dyDescent="0.35">
      <c r="E53" t="s">
        <v>50</v>
      </c>
      <c r="F53" t="s">
        <v>37</v>
      </c>
      <c r="G53" s="1">
        <v>46011.666666666664</v>
      </c>
      <c r="H53" t="s">
        <v>55</v>
      </c>
      <c r="R53" t="s">
        <v>41</v>
      </c>
      <c r="S53" t="b">
        <v>0</v>
      </c>
      <c r="T53" t="b">
        <v>1</v>
      </c>
    </row>
    <row r="54" spans="5:20" x14ac:dyDescent="0.35">
      <c r="E54" t="s">
        <v>29</v>
      </c>
      <c r="F54" t="s">
        <v>38</v>
      </c>
      <c r="G54" s="1">
        <v>46011.708333333336</v>
      </c>
      <c r="H54" t="s">
        <v>65</v>
      </c>
      <c r="R54" t="s">
        <v>41</v>
      </c>
      <c r="S54" t="b">
        <v>0</v>
      </c>
      <c r="T54" t="b">
        <v>0</v>
      </c>
    </row>
    <row r="55" spans="5:20" x14ac:dyDescent="0.35">
      <c r="E55" t="s">
        <v>30</v>
      </c>
      <c r="F55" t="s">
        <v>32</v>
      </c>
      <c r="G55" s="1">
        <v>46011.75</v>
      </c>
      <c r="H55" t="s">
        <v>63</v>
      </c>
      <c r="R55" t="s">
        <v>24</v>
      </c>
      <c r="S55" t="b">
        <v>1</v>
      </c>
      <c r="T55" t="b">
        <v>1</v>
      </c>
    </row>
    <row r="56" spans="5:20" x14ac:dyDescent="0.35">
      <c r="E56" t="s">
        <v>33</v>
      </c>
      <c r="F56" t="s">
        <v>43</v>
      </c>
      <c r="G56" s="1">
        <v>46011.8125</v>
      </c>
      <c r="H56" t="s">
        <v>60</v>
      </c>
      <c r="R56" t="s">
        <v>41</v>
      </c>
      <c r="S56" t="b">
        <v>0</v>
      </c>
      <c r="T56" t="b">
        <v>0</v>
      </c>
    </row>
    <row r="57" spans="5:20" x14ac:dyDescent="0.35">
      <c r="E57" t="s">
        <v>26</v>
      </c>
      <c r="F57" t="s">
        <v>49</v>
      </c>
      <c r="G57" s="1">
        <v>46011.90625</v>
      </c>
      <c r="H57" t="s">
        <v>54</v>
      </c>
      <c r="R57" t="s">
        <v>24</v>
      </c>
      <c r="S57" t="b">
        <v>0</v>
      </c>
      <c r="T57" t="b">
        <v>1</v>
      </c>
    </row>
    <row r="58" spans="5:20" x14ac:dyDescent="0.35">
      <c r="E58" t="s">
        <v>46</v>
      </c>
      <c r="F58" t="s">
        <v>26</v>
      </c>
      <c r="G58" s="1">
        <v>46017.708333333336</v>
      </c>
      <c r="H58" t="s">
        <v>48</v>
      </c>
      <c r="R58" t="s">
        <v>41</v>
      </c>
      <c r="S58" t="b">
        <v>0</v>
      </c>
      <c r="T58" t="b">
        <v>1</v>
      </c>
    </row>
    <row r="59" spans="5:20" x14ac:dyDescent="0.35">
      <c r="E59" t="s">
        <v>42</v>
      </c>
      <c r="F59" t="s">
        <v>33</v>
      </c>
      <c r="G59" s="1">
        <v>46017.8125</v>
      </c>
      <c r="H59" t="s">
        <v>44</v>
      </c>
      <c r="R59" t="s">
        <v>41</v>
      </c>
      <c r="S59" t="b">
        <v>0</v>
      </c>
      <c r="T59" t="b">
        <v>1</v>
      </c>
    </row>
    <row r="60" spans="5:20" x14ac:dyDescent="0.35">
      <c r="E60" t="s">
        <v>37</v>
      </c>
      <c r="F60" t="s">
        <v>50</v>
      </c>
      <c r="G60" s="1">
        <v>46018.6875</v>
      </c>
      <c r="H60" t="s">
        <v>39</v>
      </c>
      <c r="R60" t="s">
        <v>41</v>
      </c>
      <c r="S60" t="b">
        <v>0</v>
      </c>
      <c r="T60" t="b">
        <v>1</v>
      </c>
    </row>
    <row r="61" spans="5:20" x14ac:dyDescent="0.35">
      <c r="E61" t="s">
        <v>38</v>
      </c>
      <c r="F61" t="s">
        <v>29</v>
      </c>
      <c r="G61" s="1">
        <v>46018.708333333336</v>
      </c>
      <c r="H61" t="s">
        <v>66</v>
      </c>
      <c r="R61" t="s">
        <v>41</v>
      </c>
      <c r="S61" t="b">
        <v>0</v>
      </c>
      <c r="T61" t="b">
        <v>0</v>
      </c>
    </row>
    <row r="62" spans="5:20" x14ac:dyDescent="0.35">
      <c r="E62" t="s">
        <v>49</v>
      </c>
      <c r="F62" t="s">
        <v>25</v>
      </c>
      <c r="G62" s="1">
        <v>46018.8125</v>
      </c>
      <c r="H62" t="s">
        <v>51</v>
      </c>
      <c r="R62" t="s">
        <v>41</v>
      </c>
      <c r="S62" t="b">
        <v>0</v>
      </c>
      <c r="T62" t="b">
        <v>1</v>
      </c>
    </row>
    <row r="63" spans="5:20" x14ac:dyDescent="0.35">
      <c r="E63" t="s">
        <v>43</v>
      </c>
      <c r="F63" t="s">
        <v>21</v>
      </c>
      <c r="G63" s="1">
        <v>46018.90625</v>
      </c>
      <c r="H63" t="s">
        <v>57</v>
      </c>
      <c r="R63" t="s">
        <v>24</v>
      </c>
      <c r="S63" t="b">
        <v>0</v>
      </c>
      <c r="T63" t="b">
        <v>1</v>
      </c>
    </row>
    <row r="64" spans="5:20" x14ac:dyDescent="0.35">
      <c r="E64" t="s">
        <v>26</v>
      </c>
      <c r="F64" t="s">
        <v>42</v>
      </c>
      <c r="G64" s="1">
        <v>46023.708333333336</v>
      </c>
      <c r="H64" t="s">
        <v>54</v>
      </c>
      <c r="R64" t="s">
        <v>41</v>
      </c>
      <c r="S64" t="b">
        <v>0</v>
      </c>
      <c r="T64" t="b">
        <v>1</v>
      </c>
    </row>
    <row r="65" spans="5:20" x14ac:dyDescent="0.35">
      <c r="E65" t="s">
        <v>33</v>
      </c>
      <c r="F65" t="s">
        <v>46</v>
      </c>
      <c r="G65" s="1">
        <v>46023.8125</v>
      </c>
      <c r="H65" t="s">
        <v>60</v>
      </c>
      <c r="R65" t="s">
        <v>41</v>
      </c>
      <c r="S65" t="b">
        <v>0</v>
      </c>
      <c r="T65" t="b">
        <v>0</v>
      </c>
    </row>
    <row r="66" spans="5:20" x14ac:dyDescent="0.35">
      <c r="E66" t="s">
        <v>25</v>
      </c>
      <c r="F66" t="s">
        <v>43</v>
      </c>
      <c r="G66" s="1">
        <v>46024.90625</v>
      </c>
      <c r="H66" t="s">
        <v>27</v>
      </c>
      <c r="R66" t="s">
        <v>24</v>
      </c>
      <c r="S66" t="b">
        <v>0</v>
      </c>
      <c r="T66" t="b">
        <v>1</v>
      </c>
    </row>
    <row r="67" spans="5:20" x14ac:dyDescent="0.35">
      <c r="E67" t="s">
        <v>30</v>
      </c>
      <c r="F67" t="s">
        <v>47</v>
      </c>
      <c r="G67" s="1">
        <v>46025.645833333336</v>
      </c>
      <c r="H67" t="s">
        <v>63</v>
      </c>
      <c r="R67" t="s">
        <v>41</v>
      </c>
      <c r="S67" t="b">
        <v>1</v>
      </c>
      <c r="T67" t="b">
        <v>1</v>
      </c>
    </row>
    <row r="68" spans="5:20" x14ac:dyDescent="0.35">
      <c r="E68" t="s">
        <v>20</v>
      </c>
      <c r="F68" t="s">
        <v>32</v>
      </c>
      <c r="G68" s="1">
        <v>46025.75</v>
      </c>
      <c r="H68" t="s">
        <v>22</v>
      </c>
      <c r="R68" t="s">
        <v>24</v>
      </c>
      <c r="S68" t="b">
        <v>1</v>
      </c>
      <c r="T68" t="b">
        <v>1</v>
      </c>
    </row>
    <row r="69" spans="5:20" x14ac:dyDescent="0.35">
      <c r="E69" t="s">
        <v>50</v>
      </c>
      <c r="F69" t="s">
        <v>38</v>
      </c>
      <c r="G69" s="1">
        <v>46025.8125</v>
      </c>
      <c r="H69" t="s">
        <v>55</v>
      </c>
      <c r="R69" t="s">
        <v>24</v>
      </c>
      <c r="S69" t="b">
        <v>0</v>
      </c>
      <c r="T69" t="b">
        <v>1</v>
      </c>
    </row>
    <row r="70" spans="5:20" x14ac:dyDescent="0.35">
      <c r="E70" t="s">
        <v>21</v>
      </c>
      <c r="F70" t="s">
        <v>49</v>
      </c>
      <c r="G70" s="1">
        <v>46025.8125</v>
      </c>
      <c r="H70" t="s">
        <v>61</v>
      </c>
      <c r="R70" t="s">
        <v>41</v>
      </c>
      <c r="S70" t="b">
        <v>0</v>
      </c>
      <c r="T70" t="b">
        <v>1</v>
      </c>
    </row>
    <row r="71" spans="5:20" x14ac:dyDescent="0.35">
      <c r="E71" t="s">
        <v>29</v>
      </c>
      <c r="F71" t="s">
        <v>37</v>
      </c>
      <c r="G71" s="1">
        <v>46025.90625</v>
      </c>
      <c r="H71" t="s">
        <v>31</v>
      </c>
      <c r="R71" t="s">
        <v>24</v>
      </c>
      <c r="S71" t="b">
        <v>0</v>
      </c>
      <c r="T71" t="b">
        <v>1</v>
      </c>
    </row>
    <row r="72" spans="5:20" x14ac:dyDescent="0.35">
      <c r="E72" t="s">
        <v>33</v>
      </c>
      <c r="F72" t="s">
        <v>47</v>
      </c>
      <c r="G72" s="1">
        <v>46045.90625</v>
      </c>
      <c r="H72" t="s">
        <v>60</v>
      </c>
      <c r="R72" t="s">
        <v>24</v>
      </c>
      <c r="S72" t="b">
        <v>0</v>
      </c>
      <c r="T72" t="b">
        <v>0</v>
      </c>
    </row>
    <row r="73" spans="5:20" x14ac:dyDescent="0.35">
      <c r="E73" t="s">
        <v>38</v>
      </c>
      <c r="F73" t="s">
        <v>32</v>
      </c>
      <c r="G73" s="1">
        <v>46045.90625</v>
      </c>
      <c r="H73" t="s">
        <v>52</v>
      </c>
      <c r="R73" t="s">
        <v>24</v>
      </c>
      <c r="S73" t="b">
        <v>0</v>
      </c>
      <c r="T73" t="b">
        <v>1</v>
      </c>
    </row>
    <row r="74" spans="5:20" x14ac:dyDescent="0.35">
      <c r="E74" t="s">
        <v>43</v>
      </c>
      <c r="F74" t="s">
        <v>26</v>
      </c>
      <c r="G74" s="1">
        <v>46045.90625</v>
      </c>
      <c r="H74" t="s">
        <v>59</v>
      </c>
      <c r="R74" t="s">
        <v>24</v>
      </c>
      <c r="S74" t="b">
        <v>0</v>
      </c>
      <c r="T74" t="b">
        <v>0</v>
      </c>
    </row>
    <row r="75" spans="5:20" x14ac:dyDescent="0.35">
      <c r="E75" t="s">
        <v>42</v>
      </c>
      <c r="F75" t="s">
        <v>25</v>
      </c>
      <c r="G75" s="1">
        <v>46046.708333333336</v>
      </c>
      <c r="H75" t="s">
        <v>44</v>
      </c>
      <c r="R75" t="s">
        <v>41</v>
      </c>
      <c r="S75" t="b">
        <v>0</v>
      </c>
      <c r="T75" t="b">
        <v>1</v>
      </c>
    </row>
    <row r="76" spans="5:20" x14ac:dyDescent="0.35">
      <c r="E76" t="s">
        <v>49</v>
      </c>
      <c r="F76" t="s">
        <v>21</v>
      </c>
      <c r="G76" s="1">
        <v>46046.8125</v>
      </c>
      <c r="H76" t="s">
        <v>51</v>
      </c>
      <c r="R76" t="s">
        <v>41</v>
      </c>
      <c r="S76" t="b">
        <v>0</v>
      </c>
      <c r="T76" t="b">
        <v>1</v>
      </c>
    </row>
    <row r="77" spans="5:20" x14ac:dyDescent="0.35">
      <c r="E77" t="s">
        <v>20</v>
      </c>
      <c r="F77" t="s">
        <v>30</v>
      </c>
      <c r="G77" s="1">
        <v>46046.8125</v>
      </c>
      <c r="H77" t="s">
        <v>22</v>
      </c>
      <c r="R77" t="s">
        <v>24</v>
      </c>
      <c r="S77" t="b">
        <v>1</v>
      </c>
      <c r="T77" t="b">
        <v>1</v>
      </c>
    </row>
    <row r="78" spans="5:20" x14ac:dyDescent="0.35">
      <c r="E78" t="s">
        <v>37</v>
      </c>
      <c r="F78" t="s">
        <v>29</v>
      </c>
      <c r="G78" s="1">
        <v>46046.90625</v>
      </c>
      <c r="H78" t="s">
        <v>39</v>
      </c>
      <c r="R78" t="s">
        <v>24</v>
      </c>
      <c r="S78" t="b">
        <v>0</v>
      </c>
      <c r="T78" t="b">
        <v>1</v>
      </c>
    </row>
    <row r="79" spans="5:20" x14ac:dyDescent="0.35">
      <c r="E79" t="s">
        <v>46</v>
      </c>
      <c r="F79" t="s">
        <v>50</v>
      </c>
      <c r="G79" s="1">
        <v>46046.90625</v>
      </c>
      <c r="H79" t="s">
        <v>48</v>
      </c>
      <c r="R79" t="s">
        <v>24</v>
      </c>
      <c r="S79" t="b">
        <v>0</v>
      </c>
      <c r="T79" t="b">
        <v>1</v>
      </c>
    </row>
    <row r="80" spans="5:20" x14ac:dyDescent="0.35">
      <c r="E80" t="s">
        <v>50</v>
      </c>
      <c r="F80" t="s">
        <v>42</v>
      </c>
      <c r="G80" s="1">
        <v>46052.90625</v>
      </c>
      <c r="H80" t="s">
        <v>55</v>
      </c>
      <c r="R80" t="s">
        <v>24</v>
      </c>
      <c r="S80" t="b">
        <v>0</v>
      </c>
      <c r="T80" t="b">
        <v>1</v>
      </c>
    </row>
    <row r="81" spans="5:20" x14ac:dyDescent="0.35">
      <c r="E81" t="s">
        <v>29</v>
      </c>
      <c r="F81" t="s">
        <v>43</v>
      </c>
      <c r="G81" s="1">
        <v>46052.90625</v>
      </c>
      <c r="H81" t="s">
        <v>31</v>
      </c>
      <c r="R81" t="s">
        <v>24</v>
      </c>
      <c r="S81" t="b">
        <v>0</v>
      </c>
      <c r="T81" t="b">
        <v>1</v>
      </c>
    </row>
    <row r="82" spans="5:20" x14ac:dyDescent="0.35">
      <c r="E82" t="s">
        <v>47</v>
      </c>
      <c r="F82" t="s">
        <v>32</v>
      </c>
      <c r="G82" s="1">
        <v>46053.604166666664</v>
      </c>
      <c r="H82" t="s">
        <v>62</v>
      </c>
      <c r="R82" t="s">
        <v>36</v>
      </c>
      <c r="S82" t="b">
        <v>1</v>
      </c>
      <c r="T82" t="b">
        <v>1</v>
      </c>
    </row>
    <row r="83" spans="5:20" x14ac:dyDescent="0.35">
      <c r="E83" t="s">
        <v>30</v>
      </c>
      <c r="F83" t="s">
        <v>20</v>
      </c>
      <c r="G83" s="1">
        <v>46053.708333333336</v>
      </c>
      <c r="H83" t="s">
        <v>63</v>
      </c>
      <c r="R83" t="s">
        <v>41</v>
      </c>
      <c r="S83" t="b">
        <v>1</v>
      </c>
      <c r="T83" t="b">
        <v>1</v>
      </c>
    </row>
    <row r="84" spans="5:20" x14ac:dyDescent="0.35">
      <c r="E84" t="s">
        <v>37</v>
      </c>
      <c r="F84" t="s">
        <v>49</v>
      </c>
      <c r="G84" s="1">
        <v>46053.708333333336</v>
      </c>
      <c r="H84" t="s">
        <v>39</v>
      </c>
      <c r="R84" t="s">
        <v>41</v>
      </c>
      <c r="S84" t="b">
        <v>0</v>
      </c>
      <c r="T84" t="b">
        <v>1</v>
      </c>
    </row>
    <row r="85" spans="5:20" x14ac:dyDescent="0.35">
      <c r="E85" t="s">
        <v>21</v>
      </c>
      <c r="F85" t="s">
        <v>38</v>
      </c>
      <c r="G85" s="1">
        <v>46053.8125</v>
      </c>
      <c r="H85" t="s">
        <v>61</v>
      </c>
      <c r="R85" t="s">
        <v>41</v>
      </c>
      <c r="S85" t="b">
        <v>0</v>
      </c>
      <c r="T85" t="b">
        <v>1</v>
      </c>
    </row>
    <row r="86" spans="5:20" x14ac:dyDescent="0.35">
      <c r="E86" t="s">
        <v>33</v>
      </c>
      <c r="F86" t="s">
        <v>26</v>
      </c>
      <c r="G86" s="1">
        <v>46053.90625</v>
      </c>
      <c r="H86" t="s">
        <v>60</v>
      </c>
      <c r="R86" t="s">
        <v>24</v>
      </c>
      <c r="S86" t="b">
        <v>0</v>
      </c>
      <c r="T86" t="b">
        <v>0</v>
      </c>
    </row>
    <row r="87" spans="5:20" x14ac:dyDescent="0.35">
      <c r="E87" t="s">
        <v>25</v>
      </c>
      <c r="F87" t="s">
        <v>46</v>
      </c>
      <c r="G87" s="1">
        <v>46053.90625</v>
      </c>
      <c r="H87" t="s">
        <v>27</v>
      </c>
      <c r="R87" t="s">
        <v>24</v>
      </c>
      <c r="S87" t="b">
        <v>0</v>
      </c>
      <c r="T87" t="b">
        <v>1</v>
      </c>
    </row>
    <row r="88" spans="5:20" x14ac:dyDescent="0.35">
      <c r="E88" t="s">
        <v>47</v>
      </c>
      <c r="F88" t="s">
        <v>30</v>
      </c>
      <c r="G88" s="1">
        <v>46074.583333333336</v>
      </c>
      <c r="H88" t="s">
        <v>62</v>
      </c>
      <c r="R88" t="s">
        <v>36</v>
      </c>
      <c r="S88" t="b">
        <v>1</v>
      </c>
      <c r="T88" t="b">
        <v>1</v>
      </c>
    </row>
    <row r="89" spans="5:20" x14ac:dyDescent="0.35">
      <c r="E89" t="s">
        <v>38</v>
      </c>
      <c r="F89" t="s">
        <v>42</v>
      </c>
      <c r="G89" s="1">
        <v>46080.90625</v>
      </c>
      <c r="H89" t="s">
        <v>52</v>
      </c>
      <c r="R89" t="s">
        <v>24</v>
      </c>
      <c r="S89" t="b">
        <v>0</v>
      </c>
      <c r="T89" t="b">
        <v>1</v>
      </c>
    </row>
    <row r="90" spans="5:20" x14ac:dyDescent="0.35">
      <c r="E90" t="s">
        <v>46</v>
      </c>
      <c r="F90" t="s">
        <v>21</v>
      </c>
      <c r="G90" s="1">
        <v>46080.90625</v>
      </c>
      <c r="H90" t="s">
        <v>48</v>
      </c>
      <c r="R90" t="s">
        <v>24</v>
      </c>
      <c r="S90" t="b">
        <v>0</v>
      </c>
      <c r="T90" t="b">
        <v>1</v>
      </c>
    </row>
    <row r="91" spans="5:20" x14ac:dyDescent="0.35">
      <c r="E91" t="s">
        <v>47</v>
      </c>
      <c r="F91" t="s">
        <v>20</v>
      </c>
      <c r="G91" s="1">
        <v>46081.604166666664</v>
      </c>
      <c r="H91" t="s">
        <v>62</v>
      </c>
      <c r="R91" t="s">
        <v>36</v>
      </c>
      <c r="S91" t="b">
        <v>1</v>
      </c>
      <c r="T91" t="b">
        <v>1</v>
      </c>
    </row>
    <row r="92" spans="5:20" x14ac:dyDescent="0.35">
      <c r="E92" t="s">
        <v>32</v>
      </c>
      <c r="F92" t="s">
        <v>30</v>
      </c>
      <c r="G92" s="1">
        <v>46081.708333333336</v>
      </c>
      <c r="H92" t="s">
        <v>34</v>
      </c>
      <c r="R92" t="s">
        <v>41</v>
      </c>
      <c r="S92" t="b">
        <v>1</v>
      </c>
      <c r="T92" t="b">
        <v>1</v>
      </c>
    </row>
    <row r="93" spans="5:20" x14ac:dyDescent="0.35">
      <c r="E93" t="s">
        <v>49</v>
      </c>
      <c r="F93" t="s">
        <v>29</v>
      </c>
      <c r="G93" s="1">
        <v>46081.708333333336</v>
      </c>
      <c r="H93" t="s">
        <v>51</v>
      </c>
      <c r="R93" t="s">
        <v>41</v>
      </c>
      <c r="S93" t="b">
        <v>0</v>
      </c>
      <c r="T93" t="b">
        <v>1</v>
      </c>
    </row>
    <row r="94" spans="5:20" x14ac:dyDescent="0.35">
      <c r="E94" t="s">
        <v>43</v>
      </c>
      <c r="F94" t="s">
        <v>37</v>
      </c>
      <c r="G94" s="1">
        <v>46081.8125</v>
      </c>
      <c r="H94" t="s">
        <v>57</v>
      </c>
      <c r="R94" t="s">
        <v>41</v>
      </c>
      <c r="S94" t="b">
        <v>0</v>
      </c>
      <c r="T94" t="b">
        <v>1</v>
      </c>
    </row>
    <row r="95" spans="5:20" x14ac:dyDescent="0.35">
      <c r="E95" t="s">
        <v>26</v>
      </c>
      <c r="F95" t="s">
        <v>50</v>
      </c>
      <c r="G95" s="1">
        <v>46081.8125</v>
      </c>
      <c r="H95" t="s">
        <v>54</v>
      </c>
      <c r="R95" t="s">
        <v>41</v>
      </c>
      <c r="S95" t="b">
        <v>0</v>
      </c>
      <c r="T95" t="b">
        <v>1</v>
      </c>
    </row>
    <row r="96" spans="5:20" x14ac:dyDescent="0.35">
      <c r="E96" t="s">
        <v>33</v>
      </c>
      <c r="F96" t="s">
        <v>25</v>
      </c>
      <c r="G96" s="1">
        <v>46081.90625</v>
      </c>
      <c r="H96" t="s">
        <v>60</v>
      </c>
      <c r="R96" t="s">
        <v>24</v>
      </c>
      <c r="S96" t="b">
        <v>0</v>
      </c>
      <c r="T96" t="b">
        <v>0</v>
      </c>
    </row>
    <row r="97" spans="5:20" x14ac:dyDescent="0.35">
      <c r="E97" t="s">
        <v>32</v>
      </c>
      <c r="F97" t="s">
        <v>20</v>
      </c>
      <c r="G97" s="1">
        <v>46095.583333333336</v>
      </c>
      <c r="H97" t="s">
        <v>34</v>
      </c>
      <c r="R97" t="s">
        <v>36</v>
      </c>
      <c r="S97" t="b">
        <v>1</v>
      </c>
      <c r="T97" t="b">
        <v>1</v>
      </c>
    </row>
    <row r="98" spans="5:20" x14ac:dyDescent="0.35">
      <c r="E98" t="s">
        <v>32</v>
      </c>
      <c r="F98" t="s">
        <v>46</v>
      </c>
      <c r="G98" s="1">
        <v>46101.791666666664</v>
      </c>
      <c r="H98" t="s">
        <v>34</v>
      </c>
      <c r="R98" t="s">
        <v>24</v>
      </c>
      <c r="S98" t="b">
        <v>1</v>
      </c>
      <c r="T98" t="b">
        <v>1</v>
      </c>
    </row>
    <row r="99" spans="5:20" x14ac:dyDescent="0.35">
      <c r="E99" t="s">
        <v>42</v>
      </c>
      <c r="F99" t="s">
        <v>37</v>
      </c>
      <c r="G99" s="1">
        <v>46101.90625</v>
      </c>
      <c r="H99" t="s">
        <v>44</v>
      </c>
      <c r="R99" t="s">
        <v>24</v>
      </c>
      <c r="S99" t="b">
        <v>0</v>
      </c>
      <c r="T99" t="b">
        <v>1</v>
      </c>
    </row>
    <row r="100" spans="5:20" x14ac:dyDescent="0.35">
      <c r="E100" t="s">
        <v>25</v>
      </c>
      <c r="F100" t="s">
        <v>49</v>
      </c>
      <c r="G100" s="1">
        <v>46101.90625</v>
      </c>
      <c r="H100" t="s">
        <v>27</v>
      </c>
      <c r="R100" t="s">
        <v>24</v>
      </c>
      <c r="S100" t="b">
        <v>0</v>
      </c>
      <c r="T100" t="b">
        <v>1</v>
      </c>
    </row>
    <row r="101" spans="5:20" x14ac:dyDescent="0.35">
      <c r="E101" t="s">
        <v>47</v>
      </c>
      <c r="F101" t="s">
        <v>38</v>
      </c>
      <c r="G101" s="1">
        <v>46102.614583333336</v>
      </c>
      <c r="H101" t="s">
        <v>62</v>
      </c>
      <c r="R101" t="s">
        <v>36</v>
      </c>
      <c r="S101" t="b">
        <v>1</v>
      </c>
      <c r="T101" t="b">
        <v>1</v>
      </c>
    </row>
    <row r="102" spans="5:20" x14ac:dyDescent="0.35">
      <c r="E102" t="s">
        <v>30</v>
      </c>
      <c r="F102" t="s">
        <v>43</v>
      </c>
      <c r="G102" s="1">
        <v>46102.708333333336</v>
      </c>
      <c r="H102" t="s">
        <v>63</v>
      </c>
      <c r="R102" t="s">
        <v>41</v>
      </c>
      <c r="S102" t="b">
        <v>1</v>
      </c>
      <c r="T102" t="b">
        <v>1</v>
      </c>
    </row>
    <row r="103" spans="5:20" x14ac:dyDescent="0.35">
      <c r="E103" t="s">
        <v>50</v>
      </c>
      <c r="F103" t="s">
        <v>33</v>
      </c>
      <c r="G103" s="1">
        <v>46102.708333333336</v>
      </c>
      <c r="H103" t="s">
        <v>55</v>
      </c>
      <c r="R103" t="s">
        <v>41</v>
      </c>
      <c r="S103" t="b">
        <v>0</v>
      </c>
      <c r="T103" t="b">
        <v>1</v>
      </c>
    </row>
    <row r="104" spans="5:20" x14ac:dyDescent="0.35">
      <c r="E104" t="s">
        <v>29</v>
      </c>
      <c r="F104" t="s">
        <v>21</v>
      </c>
      <c r="G104" s="1">
        <v>46102.8125</v>
      </c>
      <c r="H104" t="s">
        <v>31</v>
      </c>
      <c r="R104" t="s">
        <v>41</v>
      </c>
      <c r="S104" t="b">
        <v>0</v>
      </c>
      <c r="T104" t="b">
        <v>1</v>
      </c>
    </row>
    <row r="105" spans="5:20" x14ac:dyDescent="0.35">
      <c r="E105" t="s">
        <v>20</v>
      </c>
      <c r="F105" t="s">
        <v>26</v>
      </c>
      <c r="G105" s="1">
        <v>46102.8125</v>
      </c>
      <c r="H105" t="s">
        <v>67</v>
      </c>
      <c r="R105" t="s">
        <v>41</v>
      </c>
      <c r="S105" t="b">
        <v>0</v>
      </c>
      <c r="T105" t="b">
        <v>0</v>
      </c>
    </row>
    <row r="106" spans="5:20" x14ac:dyDescent="0.35">
      <c r="E106" t="s">
        <v>30</v>
      </c>
      <c r="F106" t="s">
        <v>46</v>
      </c>
      <c r="G106" s="1">
        <v>46108.791666666664</v>
      </c>
      <c r="H106" t="s">
        <v>63</v>
      </c>
      <c r="R106" t="s">
        <v>24</v>
      </c>
      <c r="S106" t="b">
        <v>1</v>
      </c>
      <c r="T106" t="b">
        <v>1</v>
      </c>
    </row>
    <row r="107" spans="5:20" x14ac:dyDescent="0.35">
      <c r="E107" t="s">
        <v>29</v>
      </c>
      <c r="F107" t="s">
        <v>50</v>
      </c>
      <c r="G107" s="1">
        <v>46108.90625</v>
      </c>
      <c r="H107" t="s">
        <v>31</v>
      </c>
      <c r="R107" t="s">
        <v>24</v>
      </c>
      <c r="S107" t="b">
        <v>0</v>
      </c>
      <c r="T107" t="b">
        <v>1</v>
      </c>
    </row>
    <row r="108" spans="5:20" x14ac:dyDescent="0.35">
      <c r="E108" t="s">
        <v>32</v>
      </c>
      <c r="F108" t="s">
        <v>43</v>
      </c>
      <c r="G108" s="1">
        <v>46109.583333333336</v>
      </c>
      <c r="H108" t="s">
        <v>34</v>
      </c>
      <c r="R108" t="s">
        <v>36</v>
      </c>
      <c r="S108" t="b">
        <v>1</v>
      </c>
      <c r="T108" t="b">
        <v>1</v>
      </c>
    </row>
    <row r="109" spans="5:20" x14ac:dyDescent="0.35">
      <c r="E109" t="s">
        <v>49</v>
      </c>
      <c r="F109" t="s">
        <v>33</v>
      </c>
      <c r="G109" s="1">
        <v>46109.677083333336</v>
      </c>
      <c r="H109" t="s">
        <v>51</v>
      </c>
      <c r="R109" t="s">
        <v>36</v>
      </c>
      <c r="S109" t="b">
        <v>0</v>
      </c>
      <c r="T109" t="b">
        <v>1</v>
      </c>
    </row>
    <row r="110" spans="5:20" x14ac:dyDescent="0.35">
      <c r="E110" t="s">
        <v>47</v>
      </c>
      <c r="F110" t="s">
        <v>26</v>
      </c>
      <c r="G110" s="1">
        <v>46109.6875</v>
      </c>
      <c r="H110" t="s">
        <v>62</v>
      </c>
      <c r="R110" t="s">
        <v>41</v>
      </c>
      <c r="S110" t="b">
        <v>1</v>
      </c>
      <c r="T110" t="b">
        <v>1</v>
      </c>
    </row>
    <row r="111" spans="5:20" x14ac:dyDescent="0.35">
      <c r="E111" t="s">
        <v>20</v>
      </c>
      <c r="F111" t="s">
        <v>38</v>
      </c>
      <c r="G111" s="1">
        <v>46109.791666666664</v>
      </c>
      <c r="H111" t="s">
        <v>22</v>
      </c>
      <c r="R111" t="s">
        <v>24</v>
      </c>
      <c r="S111" t="b">
        <v>1</v>
      </c>
      <c r="T111" t="b">
        <v>1</v>
      </c>
    </row>
    <row r="112" spans="5:20" x14ac:dyDescent="0.35">
      <c r="E112" t="s">
        <v>21</v>
      </c>
      <c r="F112" t="s">
        <v>42</v>
      </c>
      <c r="G112" s="1">
        <v>46109.8125</v>
      </c>
      <c r="H112" t="s">
        <v>67</v>
      </c>
      <c r="R112" t="s">
        <v>41</v>
      </c>
      <c r="S112" t="b">
        <v>0</v>
      </c>
      <c r="T112" t="b">
        <v>0</v>
      </c>
    </row>
    <row r="113" spans="5:20" x14ac:dyDescent="0.35">
      <c r="E113" t="s">
        <v>37</v>
      </c>
      <c r="F113" t="s">
        <v>25</v>
      </c>
      <c r="G113" s="1">
        <v>46109.90625</v>
      </c>
      <c r="H113" t="s">
        <v>39</v>
      </c>
      <c r="R113" t="s">
        <v>24</v>
      </c>
      <c r="S113" t="b">
        <v>0</v>
      </c>
      <c r="T113" t="b">
        <v>1</v>
      </c>
    </row>
    <row r="114" spans="5:20" x14ac:dyDescent="0.35">
      <c r="E114" t="s">
        <v>38</v>
      </c>
      <c r="F114" t="s">
        <v>37</v>
      </c>
      <c r="G114" s="1">
        <v>46129.864583333336</v>
      </c>
      <c r="H114" t="s">
        <v>52</v>
      </c>
      <c r="R114" t="s">
        <v>24</v>
      </c>
      <c r="S114" t="b">
        <v>0</v>
      </c>
      <c r="T114" t="b">
        <v>1</v>
      </c>
    </row>
    <row r="115" spans="5:20" x14ac:dyDescent="0.35">
      <c r="E115" t="s">
        <v>25</v>
      </c>
      <c r="F115" t="s">
        <v>21</v>
      </c>
      <c r="G115" s="1">
        <v>46129.864583333336</v>
      </c>
      <c r="H115" t="s">
        <v>27</v>
      </c>
      <c r="R115" t="s">
        <v>24</v>
      </c>
      <c r="S115" t="b">
        <v>0</v>
      </c>
      <c r="T115" t="b">
        <v>1</v>
      </c>
    </row>
    <row r="116" spans="5:20" x14ac:dyDescent="0.35">
      <c r="E116" t="s">
        <v>26</v>
      </c>
      <c r="F116" t="s">
        <v>32</v>
      </c>
      <c r="G116" s="1">
        <v>46129.864583333336</v>
      </c>
      <c r="H116" t="s">
        <v>54</v>
      </c>
      <c r="R116" t="s">
        <v>24</v>
      </c>
      <c r="S116" t="b">
        <v>0</v>
      </c>
      <c r="T116" t="b">
        <v>1</v>
      </c>
    </row>
    <row r="117" spans="5:20" x14ac:dyDescent="0.35">
      <c r="E117" t="s">
        <v>47</v>
      </c>
      <c r="F117" t="s">
        <v>29</v>
      </c>
      <c r="G117" s="1">
        <v>46130.65625</v>
      </c>
      <c r="H117" t="s">
        <v>62</v>
      </c>
      <c r="R117" t="s">
        <v>41</v>
      </c>
      <c r="S117" t="b">
        <v>1</v>
      </c>
      <c r="T117" t="b">
        <v>1</v>
      </c>
    </row>
    <row r="118" spans="5:20" x14ac:dyDescent="0.35">
      <c r="E118" t="s">
        <v>20</v>
      </c>
      <c r="F118" t="s">
        <v>49</v>
      </c>
      <c r="G118" s="1">
        <v>46130.760416666664</v>
      </c>
      <c r="H118" t="s">
        <v>22</v>
      </c>
      <c r="R118" t="s">
        <v>24</v>
      </c>
      <c r="S118" t="b">
        <v>1</v>
      </c>
      <c r="T118" t="b">
        <v>1</v>
      </c>
    </row>
    <row r="119" spans="5:20" x14ac:dyDescent="0.35">
      <c r="E119" t="s">
        <v>42</v>
      </c>
      <c r="F119" t="s">
        <v>46</v>
      </c>
      <c r="G119" s="1">
        <v>46130.770833333336</v>
      </c>
      <c r="H119" t="s">
        <v>44</v>
      </c>
      <c r="R119" t="s">
        <v>41</v>
      </c>
      <c r="S119" t="b">
        <v>0</v>
      </c>
      <c r="T119" t="b">
        <v>1</v>
      </c>
    </row>
    <row r="120" spans="5:20" x14ac:dyDescent="0.35">
      <c r="E120" t="s">
        <v>50</v>
      </c>
      <c r="F120" t="s">
        <v>43</v>
      </c>
      <c r="G120" s="1">
        <v>46130.864583333336</v>
      </c>
      <c r="H120" t="s">
        <v>55</v>
      </c>
      <c r="R120" t="s">
        <v>24</v>
      </c>
      <c r="S120" t="b">
        <v>0</v>
      </c>
      <c r="T120" t="b">
        <v>1</v>
      </c>
    </row>
    <row r="121" spans="5:20" x14ac:dyDescent="0.35">
      <c r="E121" t="s">
        <v>33</v>
      </c>
      <c r="F121" t="s">
        <v>30</v>
      </c>
      <c r="G121" s="1">
        <v>46130.864583333336</v>
      </c>
      <c r="H121" t="s">
        <v>60</v>
      </c>
      <c r="R121" t="s">
        <v>24</v>
      </c>
      <c r="S121" t="b">
        <v>0</v>
      </c>
      <c r="T121" t="b">
        <v>0</v>
      </c>
    </row>
    <row r="122" spans="5:20" x14ac:dyDescent="0.35">
      <c r="E122" t="s">
        <v>38</v>
      </c>
      <c r="F122" t="s">
        <v>30</v>
      </c>
      <c r="G122" s="1">
        <v>46136.864583333336</v>
      </c>
      <c r="H122" t="s">
        <v>52</v>
      </c>
      <c r="R122" t="s">
        <v>24</v>
      </c>
      <c r="S122" t="b">
        <v>0</v>
      </c>
      <c r="T122" t="b">
        <v>1</v>
      </c>
    </row>
    <row r="123" spans="5:20" x14ac:dyDescent="0.35">
      <c r="E123" t="s">
        <v>37</v>
      </c>
      <c r="F123" t="s">
        <v>26</v>
      </c>
      <c r="G123" s="1">
        <v>46136.864583333336</v>
      </c>
      <c r="H123" t="s">
        <v>39</v>
      </c>
      <c r="R123" t="s">
        <v>24</v>
      </c>
      <c r="S123" t="b">
        <v>0</v>
      </c>
      <c r="T123" t="b">
        <v>1</v>
      </c>
    </row>
    <row r="124" spans="5:20" x14ac:dyDescent="0.35">
      <c r="E124" t="s">
        <v>46</v>
      </c>
      <c r="F124" t="s">
        <v>33</v>
      </c>
      <c r="G124" s="1">
        <v>46136.864583333336</v>
      </c>
      <c r="H124" t="s">
        <v>48</v>
      </c>
      <c r="R124" t="s">
        <v>24</v>
      </c>
      <c r="S124" t="b">
        <v>0</v>
      </c>
      <c r="T124" t="b">
        <v>1</v>
      </c>
    </row>
    <row r="125" spans="5:20" x14ac:dyDescent="0.35">
      <c r="E125" t="s">
        <v>47</v>
      </c>
      <c r="F125" t="s">
        <v>49</v>
      </c>
      <c r="G125" s="1">
        <v>46137.666666666664</v>
      </c>
      <c r="H125" t="s">
        <v>62</v>
      </c>
      <c r="R125" t="s">
        <v>41</v>
      </c>
      <c r="S125" t="b">
        <v>1</v>
      </c>
      <c r="T125" t="b">
        <v>1</v>
      </c>
    </row>
    <row r="126" spans="5:20" x14ac:dyDescent="0.35">
      <c r="E126" t="s">
        <v>20</v>
      </c>
      <c r="F126" t="s">
        <v>29</v>
      </c>
      <c r="G126" s="1">
        <v>46137.770833333336</v>
      </c>
      <c r="H126" t="s">
        <v>22</v>
      </c>
      <c r="R126" t="s">
        <v>24</v>
      </c>
      <c r="S126" t="b">
        <v>1</v>
      </c>
      <c r="T126" t="b">
        <v>1</v>
      </c>
    </row>
    <row r="127" spans="5:20" x14ac:dyDescent="0.35">
      <c r="E127" t="s">
        <v>43</v>
      </c>
      <c r="F127" t="s">
        <v>25</v>
      </c>
      <c r="G127" s="1">
        <v>46137.770833333336</v>
      </c>
      <c r="H127" t="s">
        <v>57</v>
      </c>
      <c r="R127" t="s">
        <v>41</v>
      </c>
      <c r="S127" t="b">
        <v>0</v>
      </c>
      <c r="T127" t="b">
        <v>1</v>
      </c>
    </row>
    <row r="128" spans="5:20" x14ac:dyDescent="0.35">
      <c r="E128" t="s">
        <v>42</v>
      </c>
      <c r="F128" t="s">
        <v>32</v>
      </c>
      <c r="G128" s="1">
        <v>46137.864583333336</v>
      </c>
      <c r="H128" t="s">
        <v>44</v>
      </c>
      <c r="R128" t="s">
        <v>24</v>
      </c>
      <c r="S128" t="b">
        <v>0</v>
      </c>
      <c r="T128" t="b">
        <v>1</v>
      </c>
    </row>
    <row r="129" spans="5:20" x14ac:dyDescent="0.35">
      <c r="E129" t="s">
        <v>50</v>
      </c>
      <c r="F129" t="s">
        <v>21</v>
      </c>
      <c r="G129" s="1">
        <v>46137.864583333336</v>
      </c>
      <c r="H129" t="s">
        <v>55</v>
      </c>
      <c r="R129" t="s">
        <v>24</v>
      </c>
      <c r="S129" t="b">
        <v>0</v>
      </c>
      <c r="T129" t="b">
        <v>1</v>
      </c>
    </row>
    <row r="130" spans="5:20" x14ac:dyDescent="0.35">
      <c r="E130" t="s">
        <v>29</v>
      </c>
      <c r="F130" t="s">
        <v>46</v>
      </c>
      <c r="G130" s="1">
        <v>46150.864583333336</v>
      </c>
      <c r="H130" t="s">
        <v>31</v>
      </c>
      <c r="R130" t="s">
        <v>24</v>
      </c>
      <c r="S130" t="b">
        <v>0</v>
      </c>
      <c r="T130" t="b">
        <v>1</v>
      </c>
    </row>
    <row r="131" spans="5:20" x14ac:dyDescent="0.35">
      <c r="E131" t="s">
        <v>25</v>
      </c>
      <c r="F131" t="s">
        <v>20</v>
      </c>
      <c r="G131" s="1">
        <v>46150.864583333336</v>
      </c>
      <c r="H131" t="s">
        <v>27</v>
      </c>
      <c r="R131" t="s">
        <v>24</v>
      </c>
      <c r="S131" t="b">
        <v>0</v>
      </c>
      <c r="T131" t="b">
        <v>1</v>
      </c>
    </row>
    <row r="132" spans="5:20" x14ac:dyDescent="0.35">
      <c r="E132" t="s">
        <v>32</v>
      </c>
      <c r="F132" t="s">
        <v>37</v>
      </c>
      <c r="G132" s="1">
        <v>46151.572916666664</v>
      </c>
      <c r="H132" t="s">
        <v>34</v>
      </c>
      <c r="R132" t="s">
        <v>36</v>
      </c>
      <c r="S132" t="b">
        <v>1</v>
      </c>
      <c r="T132" t="b">
        <v>1</v>
      </c>
    </row>
    <row r="133" spans="5:20" x14ac:dyDescent="0.35">
      <c r="E133" t="s">
        <v>30</v>
      </c>
      <c r="F133" t="s">
        <v>50</v>
      </c>
      <c r="G133" s="1">
        <v>46151.666666666664</v>
      </c>
      <c r="H133" t="s">
        <v>63</v>
      </c>
      <c r="R133" t="s">
        <v>41</v>
      </c>
      <c r="S133" t="b">
        <v>1</v>
      </c>
      <c r="T133" t="b">
        <v>1</v>
      </c>
    </row>
    <row r="134" spans="5:20" x14ac:dyDescent="0.35">
      <c r="E134" t="s">
        <v>33</v>
      </c>
      <c r="F134" t="s">
        <v>42</v>
      </c>
      <c r="G134" s="1">
        <v>46151.770833333336</v>
      </c>
      <c r="H134" t="s">
        <v>60</v>
      </c>
      <c r="R134" t="s">
        <v>41</v>
      </c>
      <c r="S134" t="b">
        <v>0</v>
      </c>
      <c r="T134" t="b">
        <v>0</v>
      </c>
    </row>
    <row r="135" spans="5:20" x14ac:dyDescent="0.35">
      <c r="E135" t="s">
        <v>21</v>
      </c>
      <c r="F135" t="s">
        <v>47</v>
      </c>
      <c r="G135" s="1">
        <v>46151.770833333336</v>
      </c>
      <c r="H135" t="s">
        <v>67</v>
      </c>
      <c r="R135" t="s">
        <v>41</v>
      </c>
      <c r="S135" t="b">
        <v>0</v>
      </c>
      <c r="T135" t="b">
        <v>0</v>
      </c>
    </row>
    <row r="136" spans="5:20" x14ac:dyDescent="0.35">
      <c r="E136" t="s">
        <v>26</v>
      </c>
      <c r="F136" t="s">
        <v>38</v>
      </c>
      <c r="G136" s="1">
        <v>46151.864583333336</v>
      </c>
      <c r="H136" t="s">
        <v>54</v>
      </c>
      <c r="R136" t="s">
        <v>24</v>
      </c>
      <c r="S136" t="b">
        <v>0</v>
      </c>
      <c r="T136" t="b">
        <v>1</v>
      </c>
    </row>
    <row r="137" spans="5:20" x14ac:dyDescent="0.35">
      <c r="E137" t="s">
        <v>49</v>
      </c>
      <c r="F137" t="s">
        <v>43</v>
      </c>
      <c r="G137" s="1">
        <v>46151.864583333336</v>
      </c>
      <c r="H137" t="s">
        <v>51</v>
      </c>
      <c r="R137" t="s">
        <v>24</v>
      </c>
      <c r="S137" t="b">
        <v>0</v>
      </c>
      <c r="T137" t="b">
        <v>1</v>
      </c>
    </row>
    <row r="138" spans="5:20" x14ac:dyDescent="0.35">
      <c r="E138" t="s">
        <v>46</v>
      </c>
      <c r="F138" t="s">
        <v>20</v>
      </c>
      <c r="G138" s="1">
        <v>46157.864583333336</v>
      </c>
      <c r="H138" t="s">
        <v>48</v>
      </c>
      <c r="R138" t="s">
        <v>24</v>
      </c>
      <c r="S138" t="b">
        <v>0</v>
      </c>
      <c r="T138" t="b">
        <v>1</v>
      </c>
    </row>
    <row r="139" spans="5:20" x14ac:dyDescent="0.35">
      <c r="E139" t="s">
        <v>25</v>
      </c>
      <c r="F139" t="s">
        <v>29</v>
      </c>
      <c r="G139" s="1">
        <v>46157.864583333336</v>
      </c>
      <c r="H139" t="s">
        <v>27</v>
      </c>
      <c r="R139" t="s">
        <v>24</v>
      </c>
      <c r="S139" t="b">
        <v>0</v>
      </c>
      <c r="T139" t="b">
        <v>1</v>
      </c>
    </row>
    <row r="140" spans="5:20" x14ac:dyDescent="0.35">
      <c r="E140" t="s">
        <v>38</v>
      </c>
      <c r="F140" t="s">
        <v>49</v>
      </c>
      <c r="G140" s="1">
        <v>46157.864583333336</v>
      </c>
      <c r="H140" t="s">
        <v>52</v>
      </c>
      <c r="R140" t="s">
        <v>24</v>
      </c>
      <c r="S140" t="b">
        <v>0</v>
      </c>
      <c r="T140" t="b">
        <v>1</v>
      </c>
    </row>
    <row r="141" spans="5:20" x14ac:dyDescent="0.35">
      <c r="E141" t="s">
        <v>30</v>
      </c>
      <c r="F141" t="s">
        <v>37</v>
      </c>
      <c r="G141" s="1">
        <v>46158.572916666664</v>
      </c>
      <c r="H141" t="s">
        <v>63</v>
      </c>
      <c r="R141" t="s">
        <v>36</v>
      </c>
      <c r="S141" t="b">
        <v>1</v>
      </c>
      <c r="T141" t="b">
        <v>1</v>
      </c>
    </row>
    <row r="142" spans="5:20" x14ac:dyDescent="0.35">
      <c r="E142" t="s">
        <v>32</v>
      </c>
      <c r="F142" t="s">
        <v>50</v>
      </c>
      <c r="G142" s="1">
        <v>46158.666666666664</v>
      </c>
      <c r="H142" t="s">
        <v>34</v>
      </c>
      <c r="R142" t="s">
        <v>41</v>
      </c>
      <c r="S142" t="b">
        <v>1</v>
      </c>
      <c r="T142" t="b">
        <v>1</v>
      </c>
    </row>
    <row r="143" spans="5:20" x14ac:dyDescent="0.35">
      <c r="E143" t="s">
        <v>21</v>
      </c>
      <c r="F143" t="s">
        <v>33</v>
      </c>
      <c r="G143" s="1">
        <v>46158.760416666664</v>
      </c>
      <c r="H143" t="s">
        <v>67</v>
      </c>
      <c r="R143" t="s">
        <v>41</v>
      </c>
      <c r="S143" t="b">
        <v>0</v>
      </c>
      <c r="T143" t="b">
        <v>0</v>
      </c>
    </row>
    <row r="144" spans="5:20" x14ac:dyDescent="0.35">
      <c r="E144" t="s">
        <v>42</v>
      </c>
      <c r="F144" t="s">
        <v>26</v>
      </c>
      <c r="G144" s="1">
        <v>46158.760416666664</v>
      </c>
      <c r="H144" t="s">
        <v>44</v>
      </c>
      <c r="R144" t="s">
        <v>41</v>
      </c>
      <c r="S144" t="b">
        <v>0</v>
      </c>
      <c r="T144" t="b">
        <v>1</v>
      </c>
    </row>
    <row r="145" spans="5:20" x14ac:dyDescent="0.35">
      <c r="E145" t="s">
        <v>43</v>
      </c>
      <c r="F145" t="s">
        <v>47</v>
      </c>
      <c r="G145" s="1">
        <v>46158.864583333336</v>
      </c>
      <c r="H145" t="s">
        <v>57</v>
      </c>
      <c r="R145" t="s">
        <v>24</v>
      </c>
      <c r="S145" t="b">
        <v>0</v>
      </c>
      <c r="T1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25preds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Joubert Oosthuizen</dc:creator>
  <cp:lastModifiedBy>Joubert Oosthuizen</cp:lastModifiedBy>
  <dcterms:created xsi:type="dcterms:W3CDTF">2025-11-06T08:20:58Z</dcterms:created>
  <dcterms:modified xsi:type="dcterms:W3CDTF">2025-11-06T08:42:29Z</dcterms:modified>
</cp:coreProperties>
</file>